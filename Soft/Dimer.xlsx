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Datos\Electronica\Proyectos\Microchip\Git\Casandra\Soft\"/>
    </mc:Choice>
  </mc:AlternateContent>
  <xr:revisionPtr revIDLastSave="0" documentId="13_ncr:1_{47E5944B-266B-4D90-893E-05CCF5787EF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omandos" sheetId="2" r:id="rId1"/>
    <sheet name="I-O" sheetId="6" r:id="rId2"/>
    <sheet name="Red MQTT" sheetId="10" r:id="rId3"/>
    <sheet name="Sensor Luz v3" sheetId="9" r:id="rId4"/>
    <sheet name="MapeoIR" sheetId="11" r:id="rId5"/>
    <sheet name="ZeroCross" sheetId="1" r:id="rId6"/>
    <sheet name="Sensor de Luz 2 (obsoleto)" sheetId="8" r:id="rId7"/>
    <sheet name="Sensores (obsoleto)" sheetId="5" r:id="rId8"/>
    <sheet name="Menu (obsoleto)" sheetId="3" r:id="rId9"/>
  </sheets>
  <definedNames>
    <definedName name="_xlnm._FilterDatabase" localSheetId="0" hidden="1">Comandos!#REF!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1" l="1"/>
  <c r="O13" i="1"/>
  <c r="O12" i="1"/>
  <c r="O11" i="1"/>
  <c r="O10" i="1"/>
  <c r="O9" i="1"/>
  <c r="O8" i="1"/>
  <c r="O7" i="1"/>
  <c r="O6" i="1"/>
  <c r="O5" i="1"/>
  <c r="O4" i="1"/>
  <c r="O3" i="1"/>
  <c r="H217" i="10"/>
  <c r="H226" i="10"/>
  <c r="H225" i="10"/>
  <c r="H224" i="10"/>
  <c r="H223" i="10"/>
  <c r="H222" i="10"/>
  <c r="H221" i="10"/>
  <c r="H220" i="10"/>
  <c r="H219" i="10"/>
  <c r="H214" i="10"/>
  <c r="H177" i="10"/>
  <c r="H170" i="10"/>
  <c r="H160" i="10"/>
  <c r="H152" i="10"/>
  <c r="H119" i="10"/>
  <c r="H56" i="10"/>
  <c r="H55" i="10"/>
  <c r="H201" i="10"/>
  <c r="H200" i="10"/>
  <c r="H199" i="10"/>
  <c r="H198" i="10"/>
  <c r="H197" i="10"/>
  <c r="H196" i="10"/>
  <c r="H195" i="10"/>
  <c r="H194" i="10"/>
  <c r="H216" i="10"/>
  <c r="H218" i="10"/>
  <c r="H180" i="10"/>
  <c r="H181" i="10"/>
  <c r="H151" i="10"/>
  <c r="H153" i="10"/>
  <c r="H118" i="10"/>
  <c r="H120" i="10"/>
  <c r="H121" i="10"/>
  <c r="H58" i="10"/>
  <c r="H215" i="10"/>
  <c r="H122" i="10"/>
  <c r="H57" i="10"/>
  <c r="E110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78" i="9"/>
  <c r="E77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18" i="9"/>
  <c r="J10" i="9"/>
  <c r="C17" i="9"/>
  <c r="C8" i="9"/>
  <c r="C9" i="9"/>
  <c r="C10" i="9"/>
  <c r="C11" i="9"/>
  <c r="C12" i="9"/>
  <c r="C13" i="9"/>
  <c r="C14" i="9"/>
  <c r="C15" i="9"/>
  <c r="C16" i="9"/>
  <c r="C7" i="9"/>
  <c r="F10" i="9"/>
  <c r="I10" i="9" s="1"/>
  <c r="I9" i="9"/>
  <c r="H213" i="10"/>
  <c r="H212" i="10"/>
  <c r="H211" i="10"/>
  <c r="H210" i="10"/>
  <c r="H187" i="10"/>
  <c r="H188" i="10"/>
  <c r="H189" i="10"/>
  <c r="H190" i="10"/>
  <c r="H191" i="10"/>
  <c r="H192" i="10"/>
  <c r="H193" i="10"/>
  <c r="H202" i="10"/>
  <c r="H203" i="10"/>
  <c r="H204" i="10"/>
  <c r="H205" i="10"/>
  <c r="H206" i="10"/>
  <c r="H207" i="10"/>
  <c r="H208" i="10"/>
  <c r="H209" i="10"/>
  <c r="H186" i="10"/>
  <c r="H185" i="10"/>
  <c r="H184" i="10"/>
  <c r="H183" i="10"/>
  <c r="H182" i="10"/>
  <c r="H179" i="10"/>
  <c r="H178" i="10"/>
  <c r="H176" i="10"/>
  <c r="H173" i="10"/>
  <c r="H174" i="10"/>
  <c r="H175" i="10"/>
  <c r="H172" i="10"/>
  <c r="H171" i="10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2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7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M106" i="9"/>
  <c r="M107" i="9"/>
  <c r="M108" i="9"/>
  <c r="M109" i="9"/>
  <c r="V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L106" i="9"/>
  <c r="L107" i="9"/>
  <c r="L108" i="9"/>
  <c r="L109" i="9"/>
  <c r="Y10" i="9"/>
  <c r="R9" i="9"/>
  <c r="O10" i="9"/>
  <c r="R10" i="9" s="1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L19" i="9"/>
  <c r="M19" i="9"/>
  <c r="L20" i="9"/>
  <c r="M20" i="9"/>
  <c r="L21" i="9"/>
  <c r="M21" i="9"/>
  <c r="L22" i="9"/>
  <c r="M22" i="9"/>
  <c r="L23" i="9"/>
  <c r="M23" i="9"/>
  <c r="L24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L32" i="9"/>
  <c r="M32" i="9"/>
  <c r="L33" i="9"/>
  <c r="M33" i="9"/>
  <c r="L34" i="9"/>
  <c r="M34" i="9"/>
  <c r="L35" i="9"/>
  <c r="M35" i="9"/>
  <c r="L36" i="9"/>
  <c r="M36" i="9"/>
  <c r="L37" i="9"/>
  <c r="M37" i="9"/>
  <c r="L38" i="9"/>
  <c r="M38" i="9"/>
  <c r="L39" i="9"/>
  <c r="M39" i="9"/>
  <c r="L40" i="9"/>
  <c r="M40" i="9"/>
  <c r="L41" i="9"/>
  <c r="M41" i="9"/>
  <c r="L42" i="9"/>
  <c r="M42" i="9"/>
  <c r="L43" i="9"/>
  <c r="M43" i="9"/>
  <c r="L44" i="9"/>
  <c r="M44" i="9"/>
  <c r="L45" i="9"/>
  <c r="M45" i="9"/>
  <c r="L46" i="9"/>
  <c r="M46" i="9"/>
  <c r="L47" i="9"/>
  <c r="M47" i="9"/>
  <c r="L48" i="9"/>
  <c r="M48" i="9"/>
  <c r="L49" i="9"/>
  <c r="M49" i="9"/>
  <c r="L50" i="9"/>
  <c r="M50" i="9"/>
  <c r="L51" i="9"/>
  <c r="M51" i="9"/>
  <c r="L52" i="9"/>
  <c r="M52" i="9"/>
  <c r="L53" i="9"/>
  <c r="M53" i="9"/>
  <c r="L54" i="9"/>
  <c r="M54" i="9"/>
  <c r="L55" i="9"/>
  <c r="M55" i="9"/>
  <c r="L56" i="9"/>
  <c r="M56" i="9"/>
  <c r="L57" i="9"/>
  <c r="M57" i="9"/>
  <c r="L58" i="9"/>
  <c r="M58" i="9"/>
  <c r="L59" i="9"/>
  <c r="M59" i="9"/>
  <c r="L60" i="9"/>
  <c r="M60" i="9"/>
  <c r="L61" i="9"/>
  <c r="M61" i="9"/>
  <c r="L62" i="9"/>
  <c r="M62" i="9"/>
  <c r="L63" i="9"/>
  <c r="M63" i="9"/>
  <c r="L64" i="9"/>
  <c r="M64" i="9"/>
  <c r="L65" i="9"/>
  <c r="M65" i="9"/>
  <c r="L66" i="9"/>
  <c r="M66" i="9"/>
  <c r="L67" i="9"/>
  <c r="M67" i="9"/>
  <c r="L68" i="9"/>
  <c r="M68" i="9"/>
  <c r="L69" i="9"/>
  <c r="M69" i="9"/>
  <c r="L70" i="9"/>
  <c r="M70" i="9"/>
  <c r="L71" i="9"/>
  <c r="M71" i="9"/>
  <c r="L72" i="9"/>
  <c r="M72" i="9"/>
  <c r="L73" i="9"/>
  <c r="M73" i="9"/>
  <c r="L74" i="9"/>
  <c r="M74" i="9"/>
  <c r="L75" i="9"/>
  <c r="M75" i="9"/>
  <c r="L76" i="9"/>
  <c r="M76" i="9"/>
  <c r="L77" i="9"/>
  <c r="M77" i="9"/>
  <c r="L78" i="9"/>
  <c r="M78" i="9"/>
  <c r="L79" i="9"/>
  <c r="M79" i="9"/>
  <c r="L80" i="9"/>
  <c r="M80" i="9"/>
  <c r="L81" i="9"/>
  <c r="M81" i="9"/>
  <c r="L82" i="9"/>
  <c r="M82" i="9"/>
  <c r="L83" i="9"/>
  <c r="M83" i="9"/>
  <c r="L84" i="9"/>
  <c r="M84" i="9"/>
  <c r="L85" i="9"/>
  <c r="M85" i="9"/>
  <c r="L86" i="9"/>
  <c r="M86" i="9"/>
  <c r="L87" i="9"/>
  <c r="M87" i="9"/>
  <c r="L88" i="9"/>
  <c r="M88" i="9"/>
  <c r="L89" i="9"/>
  <c r="M89" i="9"/>
  <c r="L90" i="9"/>
  <c r="M90" i="9"/>
  <c r="L91" i="9"/>
  <c r="M91" i="9"/>
  <c r="L92" i="9"/>
  <c r="M92" i="9"/>
  <c r="L93" i="9"/>
  <c r="M93" i="9"/>
  <c r="L94" i="9"/>
  <c r="M94" i="9"/>
  <c r="L95" i="9"/>
  <c r="M95" i="9"/>
  <c r="L96" i="9"/>
  <c r="M96" i="9"/>
  <c r="L97" i="9"/>
  <c r="M97" i="9"/>
  <c r="L98" i="9"/>
  <c r="M98" i="9"/>
  <c r="L99" i="9"/>
  <c r="M99" i="9"/>
  <c r="L100" i="9"/>
  <c r="M100" i="9"/>
  <c r="L101" i="9"/>
  <c r="M101" i="9"/>
  <c r="L102" i="9"/>
  <c r="M102" i="9"/>
  <c r="L103" i="9"/>
  <c r="M103" i="9"/>
  <c r="L104" i="9"/>
  <c r="M104" i="9"/>
  <c r="L105" i="9"/>
  <c r="M105" i="9"/>
  <c r="M7" i="9"/>
  <c r="L7" i="9"/>
  <c r="H169" i="10"/>
  <c r="H168" i="10"/>
  <c r="H167" i="10"/>
  <c r="H166" i="10"/>
  <c r="H165" i="10"/>
  <c r="H164" i="10"/>
  <c r="H163" i="10"/>
  <c r="H162" i="10"/>
  <c r="H161" i="10"/>
  <c r="H159" i="10"/>
  <c r="H158" i="10"/>
  <c r="H157" i="10"/>
  <c r="H156" i="10"/>
  <c r="H155" i="10"/>
  <c r="H154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C4" i="1"/>
  <c r="C5" i="1" s="1"/>
  <c r="C6" i="1" s="1"/>
  <c r="C7" i="1" s="1"/>
  <c r="C8" i="1" s="1"/>
  <c r="C9" i="1" s="1"/>
  <c r="C10" i="1" s="1"/>
  <c r="C11" i="1" s="1"/>
  <c r="C12" i="1" s="1"/>
  <c r="F12" i="9" l="1"/>
  <c r="E4" i="8"/>
  <c r="E5" i="8"/>
  <c r="E6" i="8"/>
  <c r="E3" i="8"/>
  <c r="E63" i="2" l="1"/>
  <c r="E64" i="2"/>
  <c r="E65" i="2"/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5" i="2"/>
  <c r="B17" i="2"/>
  <c r="B29" i="2"/>
  <c r="B41" i="2"/>
  <c r="B53" i="2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Gonzalo Carvallo</author>
  </authors>
  <commentList>
    <comment ref="G50" authorId="0" shapeId="0" xr:uid="{B23C4E34-1685-4323-A816-D21D2577DA56}">
      <text>
        <r>
          <rPr>
            <b/>
            <sz val="9"/>
            <color indexed="81"/>
            <rFont val="Tahoma"/>
            <family val="2"/>
          </rPr>
          <t>Gonzalo Carvallo:</t>
        </r>
        <r>
          <rPr>
            <sz val="9"/>
            <color indexed="81"/>
            <rFont val="Tahoma"/>
            <family val="2"/>
          </rPr>
          <t xml:space="preserve">
Ejecuta rele de mosquito</t>
        </r>
      </text>
    </comment>
  </commentList>
</comments>
</file>

<file path=xl/sharedStrings.xml><?xml version="1.0" encoding="utf-8"?>
<sst xmlns="http://schemas.openxmlformats.org/spreadsheetml/2006/main" count="1994" uniqueCount="504">
  <si>
    <t>Valor</t>
  </si>
  <si>
    <t>TODOS</t>
  </si>
  <si>
    <t>RED</t>
  </si>
  <si>
    <t>LOCAL</t>
  </si>
  <si>
    <t>Apagado</t>
  </si>
  <si>
    <t>Encendido según int</t>
  </si>
  <si>
    <t>Encendido Fijo 3</t>
  </si>
  <si>
    <t xml:space="preserve">Codigo </t>
  </si>
  <si>
    <t>Descripcion</t>
  </si>
  <si>
    <t>ONOFF 2,56</t>
  </si>
  <si>
    <t>ONOFF 1,28</t>
  </si>
  <si>
    <t>ONOFF 0,64</t>
  </si>
  <si>
    <t>OLA 2,56</t>
  </si>
  <si>
    <t>OLA 1,28</t>
  </si>
  <si>
    <t>OLA 0,64</t>
  </si>
  <si>
    <t>Max</t>
  </si>
  <si>
    <t>Med</t>
  </si>
  <si>
    <t>Bajo</t>
  </si>
  <si>
    <t>Encendido Fijo 1</t>
  </si>
  <si>
    <t>Encendido Fijo 2</t>
  </si>
  <si>
    <t>…</t>
  </si>
  <si>
    <t>checksum</t>
  </si>
  <si>
    <t>ALARMA ON 0,65</t>
  </si>
  <si>
    <t>ALARMA OFF</t>
  </si>
  <si>
    <t>ONOFF 0,32</t>
  </si>
  <si>
    <t>Vision</t>
  </si>
  <si>
    <t>Hold desde 0</t>
  </si>
  <si>
    <t>Casandra HOLA :)</t>
  </si>
  <si>
    <t>Resumen principal</t>
  </si>
  <si>
    <t>Menu - Activar Alarma</t>
  </si>
  <si>
    <t>Menu - Luces</t>
  </si>
  <si>
    <t>Menu - Casandra</t>
  </si>
  <si>
    <t>Menu - Grupo automatico</t>
  </si>
  <si>
    <t>Menu - Configuracion</t>
  </si>
  <si>
    <t>Luces - Configurar</t>
  </si>
  <si>
    <t>Alarma - Total</t>
  </si>
  <si>
    <t>Alarma - Exterior</t>
  </si>
  <si>
    <t>Alarma - Exterior fuerte</t>
  </si>
  <si>
    <t>Casandra - Servicios + Automatico</t>
  </si>
  <si>
    <t>Casandra - Solo Servicios</t>
  </si>
  <si>
    <t>Casandra - Solo Automatico</t>
  </si>
  <si>
    <t>Casandra - Apagado</t>
  </si>
  <si>
    <t>Auto - Dias</t>
  </si>
  <si>
    <t>Auto - Banda hs</t>
  </si>
  <si>
    <t>Auto - Integrantes</t>
  </si>
  <si>
    <t>Conf - Cambiar Clave</t>
  </si>
  <si>
    <t>Conf - Cambiar DiaHs</t>
  </si>
  <si>
    <t>Conf - RESET</t>
  </si>
  <si>
    <t>Luces - Encender</t>
  </si>
  <si>
    <t>Luces - Apagar</t>
  </si>
  <si>
    <t>Acerca de…</t>
  </si>
  <si>
    <t>Significado</t>
  </si>
  <si>
    <t>Alarma</t>
  </si>
  <si>
    <t>Casandra</t>
  </si>
  <si>
    <t>Normal - Alarma apagada</t>
  </si>
  <si>
    <t>WEBServer</t>
  </si>
  <si>
    <t>Encendido</t>
  </si>
  <si>
    <t>TempOut</t>
  </si>
  <si>
    <t>LuzOut</t>
  </si>
  <si>
    <t>OK</t>
  </si>
  <si>
    <t>Sirena</t>
  </si>
  <si>
    <t>TiempoSeg</t>
  </si>
  <si>
    <t>Pasillos</t>
  </si>
  <si>
    <t>Exterior</t>
  </si>
  <si>
    <t>Luz</t>
  </si>
  <si>
    <t>V</t>
  </si>
  <si>
    <t>Fuente</t>
  </si>
  <si>
    <t>Bateria</t>
  </si>
  <si>
    <t>°C</t>
  </si>
  <si>
    <t>Lm35</t>
  </si>
  <si>
    <t>Jumper</t>
  </si>
  <si>
    <t>Ausente</t>
  </si>
  <si>
    <t>&gt;10</t>
  </si>
  <si>
    <t>ALARMA ON (sin teclas)</t>
  </si>
  <si>
    <t>ALARMA OFF (recupera teclas)</t>
  </si>
  <si>
    <t>(se envia elevado +10 para evitar negativo en red)</t>
  </si>
  <si>
    <t>Vbat</t>
  </si>
  <si>
    <t>(0 - 1)</t>
  </si>
  <si>
    <t>x10</t>
  </si>
  <si>
    <t>y fuente</t>
  </si>
  <si>
    <t>Telefonico</t>
  </si>
  <si>
    <t>ID</t>
  </si>
  <si>
    <t>3: Cocina 1</t>
  </si>
  <si>
    <t>4: Cocina 2</t>
  </si>
  <si>
    <t>2: Cuartos 2</t>
  </si>
  <si>
    <t>1:  Cuartos 1</t>
  </si>
  <si>
    <t>5: Galeria</t>
  </si>
  <si>
    <t>6: Alarma</t>
  </si>
  <si>
    <t>7: Web</t>
  </si>
  <si>
    <t>8: Telefonico</t>
  </si>
  <si>
    <t>ID's</t>
  </si>
  <si>
    <t>Luz Derecha Sofia</t>
  </si>
  <si>
    <t>Luz Izquierda Sofia</t>
  </si>
  <si>
    <t>Luz Izquierda Mama</t>
  </si>
  <si>
    <t>Luz Derecha Papa</t>
  </si>
  <si>
    <t>Luz Vestidor Papa-Mama</t>
  </si>
  <si>
    <t>Luz baño Papa-Mama</t>
  </si>
  <si>
    <t>Luz Ante-baño Papa-Mama</t>
  </si>
  <si>
    <t>Luz Perimetro</t>
  </si>
  <si>
    <t>Luz Cuarto Papa-Mama</t>
  </si>
  <si>
    <t>Luz Pasillo Cuartos</t>
  </si>
  <si>
    <t>Luz Cuarto Nico-Gon</t>
  </si>
  <si>
    <t>Luz Izquierda Nico</t>
  </si>
  <si>
    <t>Luz Derecha Gon</t>
  </si>
  <si>
    <t>Luz Hall</t>
  </si>
  <si>
    <t>Luz Exterior entrada Principal</t>
  </si>
  <si>
    <t>Luz Central Cocina</t>
  </si>
  <si>
    <t>Luz Lavadero</t>
  </si>
  <si>
    <t>Luz Estar</t>
  </si>
  <si>
    <t>Luz Exterior Estar</t>
  </si>
  <si>
    <t>Luz Garage</t>
  </si>
  <si>
    <t>Luz Pasillo Lavadero</t>
  </si>
  <si>
    <t>Luz de sodio del jardin</t>
  </si>
  <si>
    <t>Luz principal Sofia</t>
  </si>
  <si>
    <t>Luz pasillito Cuarto Nico-Sofia</t>
  </si>
  <si>
    <t>Luz Pasillo Entrada/Estar</t>
  </si>
  <si>
    <t>Porcentaje</t>
  </si>
  <si>
    <r>
      <t xml:space="preserve">(0 a 100 - </t>
    </r>
    <r>
      <rPr>
        <u/>
        <sz val="11"/>
        <color rgb="FFFF0000"/>
        <rFont val="Calibri"/>
        <family val="2"/>
        <scheme val="minor"/>
      </rPr>
      <t>no cumple checksum en 85%</t>
    </r>
    <r>
      <rPr>
        <sz val="11"/>
        <color theme="1"/>
        <rFont val="Calibri"/>
        <family val="2"/>
        <scheme val="minor"/>
      </rPr>
      <t>)</t>
    </r>
  </si>
  <si>
    <t>PANICO</t>
  </si>
  <si>
    <t>Sensor del Estar</t>
  </si>
  <si>
    <t>Sensor de Cocina</t>
  </si>
  <si>
    <t>Sensor del Living</t>
  </si>
  <si>
    <t>Sensor del Garage</t>
  </si>
  <si>
    <t>Sensor del Pasillo del Lavadero</t>
  </si>
  <si>
    <t>Sensor de la Galeria</t>
  </si>
  <si>
    <t>Sensor de la Parrilla</t>
  </si>
  <si>
    <t>Interruptor Derecha Sofia</t>
  </si>
  <si>
    <t>Interruptor Izquierda Sofia</t>
  </si>
  <si>
    <t>Interruptor principal Sofia</t>
  </si>
  <si>
    <t>Interruptor Izquierda Mama</t>
  </si>
  <si>
    <t>Interruptor Derecha Papa</t>
  </si>
  <si>
    <t>Interruptor Vestidor Papa-Mama</t>
  </si>
  <si>
    <t>Interruptor baño Papa-Mama</t>
  </si>
  <si>
    <t>Interruptor Ante-baño Papa-Mama</t>
  </si>
  <si>
    <t>Interruptor Cuarto Papa-Mama</t>
  </si>
  <si>
    <t>Interruptor Pasillo Entrada/Estar</t>
  </si>
  <si>
    <t>Interruptor Pasillo Cuartos</t>
  </si>
  <si>
    <t>Interruptor Cuarto Nico-Gon</t>
  </si>
  <si>
    <t>Interruptor Izquierda Nico</t>
  </si>
  <si>
    <t>Interruptor pasillito Cuarto Nico-Sofia</t>
  </si>
  <si>
    <t>Interruptor Derecha Gon</t>
  </si>
  <si>
    <t>Interruptor Hall</t>
  </si>
  <si>
    <t>Interruptor Central Cocina</t>
  </si>
  <si>
    <t>Interruptor Lavadero</t>
  </si>
  <si>
    <t>Interruptor Estar</t>
  </si>
  <si>
    <t>Interruptor Exterior Estar</t>
  </si>
  <si>
    <t>Interruptor Garage</t>
  </si>
  <si>
    <t>Interruptor Pasillo Lavadero</t>
  </si>
  <si>
    <t>Interruptor Ante-baño Sofia y Nico</t>
  </si>
  <si>
    <t>Luz Ante-baño Sofia y Nico</t>
  </si>
  <si>
    <t>Interruptor Baño Sofia y Nico</t>
  </si>
  <si>
    <t>Luz Baño Sofia y Nico</t>
  </si>
  <si>
    <t>Interruptor Toilette</t>
  </si>
  <si>
    <t>Luz Toilette</t>
  </si>
  <si>
    <t>COMANDOS EN RED</t>
  </si>
  <si>
    <t>33 a 93</t>
  </si>
  <si>
    <t>Luces individuales</t>
  </si>
  <si>
    <t>Todas las luces</t>
  </si>
  <si>
    <t>Webserver</t>
  </si>
  <si>
    <t>Temperatura exterior</t>
  </si>
  <si>
    <t>Intensidad del sol</t>
  </si>
  <si>
    <t>Tension de bateria</t>
  </si>
  <si>
    <t xml:space="preserve">Valor de jumper </t>
  </si>
  <si>
    <t>Identificacion de modulos</t>
  </si>
  <si>
    <t>80: Off // 90: On</t>
  </si>
  <si>
    <t>0: Off // 1 ~ 99: Seg // 100: On</t>
  </si>
  <si>
    <t>Codificado segun Programa</t>
  </si>
  <si>
    <t>Destino + Comando</t>
  </si>
  <si>
    <t>49, 50, 51, 52 53 y 54 respectiv.</t>
  </si>
  <si>
    <t>27 a 0 // 80 a 141</t>
  </si>
  <si>
    <t>Intensidad // Modos</t>
  </si>
  <si>
    <t>Off // On</t>
  </si>
  <si>
    <t>Off // Segundos // On</t>
  </si>
  <si>
    <t>Ver codigo</t>
  </si>
  <si>
    <t>Mod 1 a 5 y mod exterior</t>
  </si>
  <si>
    <r>
      <rPr>
        <b/>
        <u/>
        <sz val="11"/>
        <color rgb="FF9C6500"/>
        <rFont val="Calibri"/>
        <family val="2"/>
        <scheme val="minor"/>
      </rPr>
      <t>Byte</t>
    </r>
    <r>
      <rPr>
        <b/>
        <u/>
        <sz val="11"/>
        <color rgb="FFFF0000"/>
        <rFont val="Calibri"/>
        <family val="2"/>
        <scheme val="minor"/>
      </rPr>
      <t xml:space="preserve"> (1)</t>
    </r>
    <r>
      <rPr>
        <b/>
        <u/>
        <sz val="11"/>
        <color rgb="FF9C6500"/>
        <rFont val="Calibri"/>
        <family val="2"/>
        <scheme val="minor"/>
      </rPr>
      <t xml:space="preserve">: </t>
    </r>
    <r>
      <rPr>
        <b/>
        <sz val="11"/>
        <color rgb="FF9C6500"/>
        <rFont val="Calibri"/>
        <family val="2"/>
        <scheme val="minor"/>
      </rPr>
      <t>Ctrl</t>
    </r>
  </si>
  <si>
    <r>
      <rPr>
        <b/>
        <u/>
        <sz val="11"/>
        <color rgb="FF9C6500"/>
        <rFont val="Calibri"/>
        <family val="2"/>
        <scheme val="minor"/>
      </rPr>
      <t>Byte</t>
    </r>
    <r>
      <rPr>
        <b/>
        <u/>
        <sz val="11"/>
        <color rgb="FFFF0000"/>
        <rFont val="Calibri"/>
        <family val="2"/>
        <scheme val="minor"/>
      </rPr>
      <t xml:space="preserve"> (2)</t>
    </r>
    <r>
      <rPr>
        <b/>
        <u/>
        <sz val="11"/>
        <color rgb="FF9C6500"/>
        <rFont val="Calibri"/>
        <family val="2"/>
        <scheme val="minor"/>
      </rPr>
      <t>:</t>
    </r>
    <r>
      <rPr>
        <b/>
        <sz val="11"/>
        <color rgb="FF9C6500"/>
        <rFont val="Calibri"/>
        <family val="2"/>
        <scheme val="minor"/>
      </rPr>
      <t xml:space="preserve"> Destino </t>
    </r>
  </si>
  <si>
    <r>
      <rPr>
        <b/>
        <u/>
        <sz val="11"/>
        <color rgb="FF9C6500"/>
        <rFont val="Calibri"/>
        <family val="2"/>
        <scheme val="minor"/>
      </rPr>
      <t>Byte</t>
    </r>
    <r>
      <rPr>
        <b/>
        <u/>
        <sz val="11"/>
        <color rgb="FFFF0000"/>
        <rFont val="Calibri"/>
        <family val="2"/>
        <scheme val="minor"/>
      </rPr>
      <t xml:space="preserve"> (3)</t>
    </r>
    <r>
      <rPr>
        <b/>
        <u/>
        <sz val="11"/>
        <color rgb="FF9C6500"/>
        <rFont val="Calibri"/>
        <family val="2"/>
        <scheme val="minor"/>
      </rPr>
      <t>:</t>
    </r>
    <r>
      <rPr>
        <b/>
        <sz val="11"/>
        <color rgb="FF9C6500"/>
        <rFont val="Calibri"/>
        <family val="2"/>
        <scheme val="minor"/>
      </rPr>
      <t xml:space="preserve"> Comando </t>
    </r>
  </si>
  <si>
    <r>
      <rPr>
        <b/>
        <u/>
        <sz val="11"/>
        <color rgb="FF9C6500"/>
        <rFont val="Calibri"/>
        <family val="2"/>
        <scheme val="minor"/>
      </rPr>
      <t>Byte</t>
    </r>
    <r>
      <rPr>
        <b/>
        <u/>
        <sz val="11"/>
        <color rgb="FFFF0000"/>
        <rFont val="Calibri"/>
        <family val="2"/>
        <scheme val="minor"/>
      </rPr>
      <t xml:space="preserve"> (4)</t>
    </r>
    <r>
      <rPr>
        <b/>
        <u/>
        <sz val="11"/>
        <color rgb="FF9C6500"/>
        <rFont val="Calibri"/>
        <family val="2"/>
        <scheme val="minor"/>
      </rPr>
      <t>:</t>
    </r>
    <r>
      <rPr>
        <b/>
        <sz val="11"/>
        <color rgb="FF9C6500"/>
        <rFont val="Calibri"/>
        <family val="2"/>
        <scheme val="minor"/>
      </rPr>
      <t xml:space="preserve"> Checksum </t>
    </r>
  </si>
  <si>
    <t>Comandos</t>
  </si>
  <si>
    <t>Destinos</t>
  </si>
  <si>
    <t>Automatico 1</t>
  </si>
  <si>
    <t>Automatico 2</t>
  </si>
  <si>
    <t>Automatico 3</t>
  </si>
  <si>
    <t>Automatico 4</t>
  </si>
  <si>
    <t>Modulo Web</t>
  </si>
  <si>
    <t>Habilita servicios de pasillo</t>
  </si>
  <si>
    <t>Habilita automatico 1</t>
  </si>
  <si>
    <t>Habilita automatico 2</t>
  </si>
  <si>
    <t>Habilita automatico 3</t>
  </si>
  <si>
    <t>Habilita automatico 4</t>
  </si>
  <si>
    <t>Habilita modulo web</t>
  </si>
  <si>
    <t>Activada pasiva 1</t>
  </si>
  <si>
    <t>Activada pasiva 2</t>
  </si>
  <si>
    <t>Activada pasiva 3</t>
  </si>
  <si>
    <t>Activa total sin disparar</t>
  </si>
  <si>
    <t>Activa fuera de cuartos sin disparar</t>
  </si>
  <si>
    <t>Activa en exterior sin disparar</t>
  </si>
  <si>
    <t>Prepanico</t>
  </si>
  <si>
    <t>Panico</t>
  </si>
  <si>
    <t>Desactivada</t>
  </si>
  <si>
    <t>Disparada en etapa sin sonido</t>
  </si>
  <si>
    <t>Disparo total</t>
  </si>
  <si>
    <t>NC</t>
  </si>
  <si>
    <t>ConfCas (bits)</t>
  </si>
  <si>
    <t>EstadoAl (bits)</t>
  </si>
  <si>
    <t>Disparada en etapa  sonido intermitente</t>
  </si>
  <si>
    <t>¿Armandose?</t>
  </si>
  <si>
    <r>
      <t>2</t>
    </r>
    <r>
      <rPr>
        <sz val="11"/>
        <rFont val="Calibri"/>
        <family val="2"/>
        <scheme val="minor"/>
      </rPr>
      <t xml:space="preserve"> (121)</t>
    </r>
  </si>
  <si>
    <r>
      <t>3</t>
    </r>
    <r>
      <rPr>
        <sz val="11"/>
        <rFont val="Calibri"/>
        <family val="2"/>
        <scheme val="minor"/>
      </rPr>
      <t xml:space="preserve"> (122)</t>
    </r>
  </si>
  <si>
    <r>
      <t>4</t>
    </r>
    <r>
      <rPr>
        <sz val="11"/>
        <rFont val="Calibri"/>
        <family val="2"/>
        <scheme val="minor"/>
      </rPr>
      <t xml:space="preserve"> (123)</t>
    </r>
  </si>
  <si>
    <t>Luz ventana del Hall</t>
  </si>
  <si>
    <t>Luz Living</t>
  </si>
  <si>
    <t>Interruptor living</t>
  </si>
  <si>
    <t>LGrupo (bits)</t>
  </si>
  <si>
    <t>Grupo</t>
  </si>
  <si>
    <t>Elementos</t>
  </si>
  <si>
    <t>Auto 1</t>
  </si>
  <si>
    <t>Auto 2</t>
  </si>
  <si>
    <t>Auto 3</t>
  </si>
  <si>
    <t>Auto 4</t>
  </si>
  <si>
    <t>Definidos por usuario</t>
  </si>
  <si>
    <t>Todos</t>
  </si>
  <si>
    <t>No se usa persé (no se verifica)</t>
  </si>
  <si>
    <t>PerimetroJ</t>
  </si>
  <si>
    <t>Ext Estar - Ext Hall - Gal Pared</t>
  </si>
  <si>
    <t>PerimetroF</t>
  </si>
  <si>
    <t>Perimetro - Porche</t>
  </si>
  <si>
    <t xml:space="preserve">Jardin </t>
  </si>
  <si>
    <t>Sodio - Ext Hall</t>
  </si>
  <si>
    <t>Oscuridad total</t>
  </si>
  <si>
    <t>Umbral Optimo</t>
  </si>
  <si>
    <t>Sol total</t>
  </si>
  <si>
    <t>Tarde adentrada (50%)</t>
  </si>
  <si>
    <t>Momento</t>
  </si>
  <si>
    <t>Valor real</t>
  </si>
  <si>
    <t>Valor Byte</t>
  </si>
  <si>
    <t>Apago (74)</t>
  </si>
  <si>
    <t>Apago (34)</t>
  </si>
  <si>
    <t>En MQTT</t>
  </si>
  <si>
    <t>NA</t>
  </si>
  <si>
    <t>ok</t>
  </si>
  <si>
    <t>Ventilador Estar</t>
  </si>
  <si>
    <t>Salida PIC</t>
  </si>
  <si>
    <t>En RS485</t>
  </si>
  <si>
    <t>Hall</t>
  </si>
  <si>
    <t>Interruptor Comedor</t>
  </si>
  <si>
    <t>IP</t>
  </si>
  <si>
    <t>Mosquito</t>
  </si>
  <si>
    <t>Cuartos</t>
  </si>
  <si>
    <t>Galeria</t>
  </si>
  <si>
    <t>Cocina</t>
  </si>
  <si>
    <t>Luz parrilla</t>
  </si>
  <si>
    <t>Interruptor lado parrilla</t>
  </si>
  <si>
    <t>Luz zona parrilla</t>
  </si>
  <si>
    <t>Luz pared Galeria</t>
  </si>
  <si>
    <t>Luz Principal Galeria</t>
  </si>
  <si>
    <t>Ventilador Galeria</t>
  </si>
  <si>
    <t>Guirnalda Galeria</t>
  </si>
  <si>
    <t>Led Cobertizo</t>
  </si>
  <si>
    <t>Interruptor C4</t>
  </si>
  <si>
    <t>Interruptor C1</t>
  </si>
  <si>
    <t>Interruptor C2</t>
  </si>
  <si>
    <t>Interruptor C3</t>
  </si>
  <si>
    <t>Caldera</t>
  </si>
  <si>
    <t>Interruptor ventana del Hall</t>
  </si>
  <si>
    <t>N0</t>
  </si>
  <si>
    <t>N1</t>
  </si>
  <si>
    <t>N2</t>
  </si>
  <si>
    <t>N3</t>
  </si>
  <si>
    <t>Rango Payload</t>
  </si>
  <si>
    <t>Ejecutor</t>
  </si>
  <si>
    <t>Topic completo</t>
  </si>
  <si>
    <t>LuzEstado</t>
  </si>
  <si>
    <t>01</t>
  </si>
  <si>
    <t>0 o 1</t>
  </si>
  <si>
    <t>Estado de encendido de luz</t>
  </si>
  <si>
    <t>PIC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</si>
  <si>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</si>
  <si>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</si>
  <si>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</si>
  <si>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</si>
  <si>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</si>
  <si>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</si>
  <si>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</si>
  <si>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</si>
  <si>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</si>
  <si>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</si>
  <si>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</si>
  <si>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</si>
  <si>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</si>
  <si>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</si>
  <si>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</si>
  <si>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</si>
  <si>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</si>
  <si>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</si>
  <si>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</si>
  <si>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</si>
  <si>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</si>
  <si>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</si>
  <si>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</si>
  <si>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LuzIntensidad</t>
  </si>
  <si>
    <t>0 a 100</t>
  </si>
  <si>
    <t>Intensidad de encendido de luz</t>
  </si>
  <si>
    <t>Temperatura</t>
  </si>
  <si>
    <t>SignedInt</t>
  </si>
  <si>
    <t>Temperatura en °C</t>
  </si>
  <si>
    <t>NodeMCU</t>
  </si>
  <si>
    <t>Humedad</t>
  </si>
  <si>
    <t>Humedad porcentual</t>
  </si>
  <si>
    <t>SensorMov</t>
  </si>
  <si>
    <t>Estado de sensor de movimiento</t>
  </si>
  <si>
    <t>25</t>
  </si>
  <si>
    <t>26</t>
  </si>
  <si>
    <t>Sodios</t>
  </si>
  <si>
    <t>Estado de encendido de Sodios</t>
  </si>
  <si>
    <t>LuzCamino</t>
  </si>
  <si>
    <t>Estado de encendido de Luz del camino de entrada</t>
  </si>
  <si>
    <t>LuzEntrada</t>
  </si>
  <si>
    <t>Estado de encendido de Luz entrada</t>
  </si>
  <si>
    <t>Porton</t>
  </si>
  <si>
    <t>0 o 1 o 2</t>
  </si>
  <si>
    <t>Estado del porton</t>
  </si>
  <si>
    <t>Timbre</t>
  </si>
  <si>
    <t>Estado del pulsador del timbre</t>
  </si>
  <si>
    <t>LuzSolar</t>
  </si>
  <si>
    <t>UnsignedInt</t>
  </si>
  <si>
    <t>Intensidad porcentual del sol</t>
  </si>
  <si>
    <t>Lluvia</t>
  </si>
  <si>
    <t>Sensor de lluvia</t>
  </si>
  <si>
    <t>Termostato</t>
  </si>
  <si>
    <t>Estado de encendido del termostato</t>
  </si>
  <si>
    <t>Luz Intens</t>
  </si>
  <si>
    <t>F1</t>
  </si>
  <si>
    <t>F2</t>
  </si>
  <si>
    <t>Elec</t>
  </si>
  <si>
    <t>MQTT</t>
  </si>
  <si>
    <t>p1</t>
  </si>
  <si>
    <t>p2</t>
  </si>
  <si>
    <t>x</t>
  </si>
  <si>
    <t>y</t>
  </si>
  <si>
    <t>m</t>
  </si>
  <si>
    <t>SensPuerta</t>
  </si>
  <si>
    <t>SensPorton</t>
  </si>
  <si>
    <t>Activa Relé</t>
  </si>
  <si>
    <t>Se enciende por 250ms y se apaga solo (BC548)</t>
  </si>
  <si>
    <t>Sensor de timbre</t>
  </si>
  <si>
    <t>Sensor de puerta</t>
  </si>
  <si>
    <t>Sensor de porton</t>
  </si>
  <si>
    <t>Estar</t>
  </si>
  <si>
    <t>byte1,byte2,byte3</t>
  </si>
  <si>
    <t>Colores de 0 a 255 secuencia R-G-B</t>
  </si>
  <si>
    <t>LuzRGB</t>
  </si>
  <si>
    <t>Boton de encendido de TV</t>
  </si>
  <si>
    <t>DecoBtn0</t>
  </si>
  <si>
    <t>DecoBtn1</t>
  </si>
  <si>
    <t>DecoBtn2</t>
  </si>
  <si>
    <t>DecoBtn3</t>
  </si>
  <si>
    <t>DecoBtn4</t>
  </si>
  <si>
    <t>DecoBtn5</t>
  </si>
  <si>
    <t>DecoBtn6</t>
  </si>
  <si>
    <t>DecoBtn7</t>
  </si>
  <si>
    <t>DecoBtn8</t>
  </si>
  <si>
    <t>DecoBtn9</t>
  </si>
  <si>
    <t>Boton 0 deco Express</t>
  </si>
  <si>
    <t>Boton 1 deco Express</t>
  </si>
  <si>
    <t>Boton 2 deco Express</t>
  </si>
  <si>
    <t>Boton 3 deco Express</t>
  </si>
  <si>
    <t>Boton 4 deco Express</t>
  </si>
  <si>
    <t>Boton 5 deco Express</t>
  </si>
  <si>
    <t>Boton 6 deco Express</t>
  </si>
  <si>
    <t>Boton 7 deco Express</t>
  </si>
  <si>
    <t>Boton 8 deco Express</t>
  </si>
  <si>
    <t>Boton 9 deco Express</t>
  </si>
  <si>
    <t>"PRESS"</t>
  </si>
  <si>
    <t>BtnAbrir</t>
  </si>
  <si>
    <t>BtnCerrar</t>
  </si>
  <si>
    <t>BtnOnTV</t>
  </si>
  <si>
    <t>BtnOnDeco</t>
  </si>
  <si>
    <t>BtnCanalUpDeco</t>
  </si>
  <si>
    <t>BtnCanalDoDeco</t>
  </si>
  <si>
    <t>BtnVolDoDeco</t>
  </si>
  <si>
    <t>BtnVolUpDeco</t>
  </si>
  <si>
    <t>Boton de encendido de Deco</t>
  </si>
  <si>
    <t>Subir canal Deco</t>
  </si>
  <si>
    <t>Bajar canal Deco</t>
  </si>
  <si>
    <t>Subir volumen Deco</t>
  </si>
  <si>
    <t>Bajar volumen Deco</t>
  </si>
  <si>
    <t>CRemoto</t>
  </si>
  <si>
    <t>AA</t>
  </si>
  <si>
    <t>Fan</t>
  </si>
  <si>
    <t>Modo</t>
  </si>
  <si>
    <t>[“auto”, “low”, “medium”, “high”]</t>
  </si>
  <si>
    <t>[“auto”, “off”, “cool”, “heat”, “dry”, “fan_only”]</t>
  </si>
  <si>
    <t>Swing</t>
  </si>
  <si>
    <t>[“on”, “off”]</t>
  </si>
  <si>
    <t>TempObj</t>
  </si>
  <si>
    <t>16 a 30</t>
  </si>
  <si>
    <t>Temperatura objetivo del aire</t>
  </si>
  <si>
    <t>String</t>
  </si>
  <si>
    <t>0x20DF10EF</t>
  </si>
  <si>
    <t>0x10110EF</t>
  </si>
  <si>
    <t>0x101926D</t>
  </si>
  <si>
    <t>0x10112ED</t>
  </si>
  <si>
    <t>0x101906F</t>
  </si>
  <si>
    <t>0x10150AF</t>
  </si>
  <si>
    <t>0x1017887</t>
  </si>
  <si>
    <t>0x101C03F</t>
  </si>
  <si>
    <t>0x101C837</t>
  </si>
  <si>
    <t>0x101D827</t>
  </si>
  <si>
    <t>0x10120DF</t>
  </si>
  <si>
    <t>0x10128D7</t>
  </si>
  <si>
    <t>0x10138C7</t>
  </si>
  <si>
    <t>0x101A05F</t>
  </si>
  <si>
    <t>0x101A857</t>
  </si>
  <si>
    <t>0x101B847</t>
  </si>
  <si>
    <t>Valor Raw</t>
  </si>
  <si>
    <t>F3</t>
  </si>
  <si>
    <t>0 a 5</t>
  </si>
  <si>
    <t>X:0000 ; 1:1111 ; 2:1000 ; 3:1010 ; 4:1100 ; 5:0111</t>
  </si>
  <si>
    <t>1 o 1</t>
  </si>
  <si>
    <t>Modulo</t>
  </si>
  <si>
    <t>1</t>
  </si>
  <si>
    <t>Estado de reset del modulo</t>
  </si>
  <si>
    <t>2</t>
  </si>
  <si>
    <t>Huerta</t>
  </si>
  <si>
    <t>On</t>
  </si>
  <si>
    <t>Off</t>
  </si>
  <si>
    <t>Tiempo de prendido</t>
  </si>
  <si>
    <t>Tiempo de apagado</t>
  </si>
  <si>
    <t xml:space="preserve"> </t>
  </si>
  <si>
    <t>on o off</t>
  </si>
  <si>
    <t>DecoBtnOK</t>
  </si>
  <si>
    <t>DecoBtnUp</t>
  </si>
  <si>
    <t>DecoBtnDw</t>
  </si>
  <si>
    <t>DecoBtnDe</t>
  </si>
  <si>
    <t>DecoBtnIz</t>
  </si>
  <si>
    <t>DecoBtnMute</t>
  </si>
  <si>
    <t>DecoBtnGuide</t>
  </si>
  <si>
    <t>DecoBtnExit</t>
  </si>
  <si>
    <t>0x101F00F</t>
  </si>
  <si>
    <t>0x101609F</t>
  </si>
  <si>
    <t>0x101E01F</t>
  </si>
  <si>
    <t>0x101E817</t>
  </si>
  <si>
    <t>0x101708F</t>
  </si>
  <si>
    <t>0x10158A7</t>
  </si>
  <si>
    <t>0x1018877</t>
  </si>
  <si>
    <t>0x101E41B</t>
  </si>
  <si>
    <t>ModoLED</t>
  </si>
  <si>
    <t>VelocidadLED</t>
  </si>
  <si>
    <t>0 a 10</t>
  </si>
  <si>
    <t>Velocidad del modo de encendido</t>
  </si>
  <si>
    <t>BbaEstado</t>
  </si>
  <si>
    <t>3 a 5000 seg</t>
  </si>
  <si>
    <t>Boton OK deco Express</t>
  </si>
  <si>
    <t>Boton Arriba deco Express</t>
  </si>
  <si>
    <t>Boton Abajo deco Express</t>
  </si>
  <si>
    <t>Boton Derecha deco Express</t>
  </si>
  <si>
    <t>Boton Izquierda deco Express</t>
  </si>
  <si>
    <t>Boton Mute deco Express</t>
  </si>
  <si>
    <t>Boton Guide deco Express</t>
  </si>
  <si>
    <t>Boton Exit deco Express</t>
  </si>
  <si>
    <t>DecoBtnOk</t>
  </si>
  <si>
    <t>CocinaBis</t>
  </si>
  <si>
    <t>Estado de reset del Mosquito Cocina</t>
  </si>
  <si>
    <t>Estado de reset del Mosquito Cuartos</t>
  </si>
  <si>
    <t>Estado de reset del Mosquito Galeria</t>
  </si>
  <si>
    <t>Estado de reset del Mosquito Hall</t>
  </si>
  <si>
    <t>Estado de reset del Mosquito Caldera</t>
  </si>
  <si>
    <t>Estado de reset del Mosquito Porton</t>
  </si>
  <si>
    <t>Estado de reset del Mosquito Estar</t>
  </si>
  <si>
    <t>Estado de reset del Mosquito Huerta</t>
  </si>
  <si>
    <t>Estado de reset del Mosquito CocinaBis</t>
  </si>
  <si>
    <t>LEDMesadaInt</t>
  </si>
  <si>
    <t>SWPorton</t>
  </si>
  <si>
    <t>LEDMesadaEst</t>
  </si>
  <si>
    <t>Bomba</t>
  </si>
  <si>
    <t>Sensor de encendido de la bomba</t>
  </si>
  <si>
    <t>Comando de encendido de la bomba</t>
  </si>
  <si>
    <t>Reset / Reconect / Exec</t>
  </si>
  <si>
    <t>Estado de Switch Porton</t>
  </si>
  <si>
    <t>Estado de encendido de luz LED</t>
  </si>
  <si>
    <t>Intensidad de encendido de luz LED</t>
  </si>
  <si>
    <t>de</t>
  </si>
  <si>
    <t>hasta</t>
  </si>
  <si>
    <t xml:space="preserve">vuelve a </t>
  </si>
  <si>
    <t>"Normal", "Respira", "Flash"</t>
  </si>
  <si>
    <t>"Normal", "OlaRGB", "FlashRGB". "Respira", "Flash"</t>
  </si>
  <si>
    <t>1, 2, 3. 4 y 5</t>
  </si>
  <si>
    <t>1, 2 y 3</t>
  </si>
  <si>
    <t>Resp</t>
  </si>
  <si>
    <t>de 0 a 25</t>
  </si>
  <si>
    <t>de 25 a Max+25</t>
  </si>
  <si>
    <t>max</t>
  </si>
  <si>
    <t>--max</t>
  </si>
  <si>
    <t>llega a 0</t>
  </si>
  <si>
    <t>de max+25 a max+50</t>
  </si>
  <si>
    <t>mantiene max</t>
  </si>
  <si>
    <t>mantiene 0</t>
  </si>
  <si>
    <t>llega a max</t>
  </si>
  <si>
    <t>++max</t>
  </si>
  <si>
    <t>de max+50 a 2max+50</t>
  </si>
  <si>
    <t>si max 100</t>
  </si>
  <si>
    <t>251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</si>
</sst>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u/>
      <sz val="11"/>
      <color rgb="FF9C65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43" fontId="1" fillId="0" borderId="0" applyFont="0" applyFill="0" applyBorder="0" applyAlignment="0" applyProtection="0"/>
  </cellStyleXfs>
  <cellXfs count="227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2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0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0" fillId="7" borderId="22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0" fillId="7" borderId="24" xfId="0" applyFill="1" applyBorder="1" applyAlignment="1">
      <alignment horizontal="center"/>
    </xf>
    <xf numFmtId="9" fontId="0" fillId="0" borderId="0" xfId="0" applyNumberFormat="1" applyAlignment="1">
      <alignment horizontal="left"/>
    </xf>
    <xf numFmtId="0" fontId="9" fillId="1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5" fillId="0" borderId="0" xfId="0" applyFont="1"/>
    <xf numFmtId="0" fontId="11" fillId="0" borderId="0" xfId="0" applyFont="1"/>
    <xf numFmtId="0" fontId="12" fillId="0" borderId="23" xfId="0" applyFont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3" fillId="16" borderId="8" xfId="0" applyFont="1" applyFill="1" applyBorder="1" applyAlignment="1">
      <alignment horizontal="center"/>
    </xf>
    <xf numFmtId="0" fontId="0" fillId="0" borderId="27" xfId="0" applyBorder="1"/>
    <xf numFmtId="0" fontId="3" fillId="16" borderId="16" xfId="0" applyFont="1" applyFill="1" applyBorder="1" applyAlignment="1">
      <alignment horizontal="center"/>
    </xf>
    <xf numFmtId="0" fontId="3" fillId="16" borderId="17" xfId="0" applyFont="1" applyFill="1" applyBorder="1" applyAlignment="1">
      <alignment horizontal="center"/>
    </xf>
    <xf numFmtId="0" fontId="3" fillId="16" borderId="18" xfId="0" applyFont="1" applyFill="1" applyBorder="1" applyAlignment="1">
      <alignment horizontal="center"/>
    </xf>
    <xf numFmtId="0" fontId="0" fillId="13" borderId="25" xfId="0" applyFill="1" applyBorder="1"/>
    <xf numFmtId="0" fontId="0" fillId="13" borderId="26" xfId="0" applyFill="1" applyBorder="1"/>
    <xf numFmtId="0" fontId="0" fillId="4" borderId="26" xfId="0" applyFill="1" applyBorder="1"/>
    <xf numFmtId="0" fontId="0" fillId="17" borderId="26" xfId="0" applyFill="1" applyBorder="1"/>
    <xf numFmtId="0" fontId="0" fillId="6" borderId="26" xfId="0" applyFill="1" applyBorder="1"/>
    <xf numFmtId="0" fontId="0" fillId="18" borderId="26" xfId="0" applyFill="1" applyBorder="1"/>
    <xf numFmtId="0" fontId="0" fillId="15" borderId="4" xfId="0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4" fillId="19" borderId="2" xfId="0" applyFont="1" applyFill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4" fillId="20" borderId="19" xfId="0" applyFont="1" applyFill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7" fillId="23" borderId="17" xfId="0" applyFont="1" applyFill="1" applyBorder="1" applyAlignment="1">
      <alignment horizontal="center"/>
    </xf>
    <xf numFmtId="0" fontId="3" fillId="10" borderId="17" xfId="0" applyFont="1" applyFill="1" applyBorder="1" applyAlignment="1">
      <alignment horizontal="center"/>
    </xf>
    <xf numFmtId="0" fontId="17" fillId="23" borderId="18" xfId="0" applyFont="1" applyFill="1" applyBorder="1" applyAlignment="1">
      <alignment horizontal="center"/>
    </xf>
    <xf numFmtId="0" fontId="15" fillId="24" borderId="3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26" xfId="0" applyBorder="1"/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19" fillId="26" borderId="36" xfId="3" applyBorder="1" applyAlignment="1">
      <alignment horizontal="center" vertical="center"/>
    </xf>
    <xf numFmtId="0" fontId="19" fillId="26" borderId="37" xfId="3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17" borderId="1" xfId="0" applyFont="1" applyFill="1" applyBorder="1"/>
    <xf numFmtId="0" fontId="24" fillId="4" borderId="1" xfId="0" applyFont="1" applyFill="1" applyBorder="1" applyAlignment="1">
      <alignment horizontal="center"/>
    </xf>
    <xf numFmtId="0" fontId="24" fillId="17" borderId="1" xfId="0" applyFont="1" applyFill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3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39" xfId="0" applyBorder="1" applyAlignment="1">
      <alignment horizontal="center"/>
    </xf>
    <xf numFmtId="0" fontId="2" fillId="27" borderId="11" xfId="0" applyFont="1" applyFill="1" applyBorder="1" applyAlignment="1">
      <alignment horizontal="center"/>
    </xf>
    <xf numFmtId="0" fontId="2" fillId="27" borderId="40" xfId="0" applyFont="1" applyFill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0" fontId="0" fillId="0" borderId="41" xfId="0" applyBorder="1"/>
    <xf numFmtId="0" fontId="0" fillId="4" borderId="2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9" fontId="0" fillId="6" borderId="4" xfId="0" applyNumberFormat="1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4" xfId="0" applyFont="1" applyBorder="1"/>
    <xf numFmtId="0" fontId="25" fillId="0" borderId="3" xfId="0" applyFont="1" applyBorder="1" applyAlignment="1">
      <alignment horizontal="left"/>
    </xf>
    <xf numFmtId="0" fontId="25" fillId="0" borderId="26" xfId="0" applyFont="1" applyBorder="1"/>
    <xf numFmtId="0" fontId="25" fillId="0" borderId="17" xfId="0" applyFont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27" xfId="0" applyFont="1" applyFill="1" applyBorder="1" applyAlignment="1">
      <alignment horizontal="center"/>
    </xf>
    <xf numFmtId="0" fontId="14" fillId="22" borderId="35" xfId="0" applyFont="1" applyFill="1" applyBorder="1" applyAlignment="1">
      <alignment horizontal="center"/>
    </xf>
    <xf numFmtId="0" fontId="14" fillId="22" borderId="26" xfId="0" applyFont="1" applyFill="1" applyBorder="1" applyAlignment="1">
      <alignment horizontal="center"/>
    </xf>
    <xf numFmtId="0" fontId="14" fillId="22" borderId="42" xfId="0" applyFont="1" applyFill="1" applyBorder="1" applyAlignment="1">
      <alignment horizontal="center"/>
    </xf>
    <xf numFmtId="0" fontId="14" fillId="24" borderId="43" xfId="0" applyFont="1" applyFill="1" applyBorder="1" applyAlignment="1">
      <alignment horizontal="center"/>
    </xf>
    <xf numFmtId="0" fontId="14" fillId="19" borderId="19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28" borderId="16" xfId="0" applyFill="1" applyBorder="1" applyAlignment="1">
      <alignment horizontal="center"/>
    </xf>
    <xf numFmtId="0" fontId="0" fillId="28" borderId="17" xfId="0" applyFill="1" applyBorder="1" applyAlignment="1">
      <alignment horizontal="center"/>
    </xf>
    <xf numFmtId="0" fontId="0" fillId="28" borderId="18" xfId="0" applyFill="1" applyBorder="1" applyAlignment="1">
      <alignment horizontal="center"/>
    </xf>
    <xf numFmtId="0" fontId="0" fillId="17" borderId="44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5" fillId="0" borderId="1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49" fontId="0" fillId="0" borderId="32" xfId="4" applyNumberFormat="1" applyFont="1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47" xfId="0" applyBorder="1" applyAlignment="1">
      <alignment horizontal="center"/>
    </xf>
    <xf numFmtId="49" fontId="0" fillId="0" borderId="0" xfId="4" applyNumberFormat="1" applyFont="1" applyBorder="1" applyAlignment="1">
      <alignment horizontal="center"/>
    </xf>
    <xf numFmtId="0" fontId="0" fillId="0" borderId="48" xfId="0" applyBorder="1" applyAlignment="1">
      <alignment horizontal="left"/>
    </xf>
    <xf numFmtId="0" fontId="0" fillId="0" borderId="44" xfId="0" applyBorder="1" applyAlignment="1">
      <alignment horizontal="center"/>
    </xf>
    <xf numFmtId="0" fontId="0" fillId="0" borderId="49" xfId="0" applyBorder="1" applyAlignment="1">
      <alignment horizontal="center"/>
    </xf>
    <xf numFmtId="49" fontId="0" fillId="0" borderId="49" xfId="4" applyNumberFormat="1" applyFont="1" applyBorder="1" applyAlignment="1">
      <alignment horizontal="center"/>
    </xf>
    <xf numFmtId="0" fontId="0" fillId="0" borderId="49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15" borderId="0" xfId="0" applyFill="1"/>
    <xf numFmtId="0" fontId="0" fillId="15" borderId="0" xfId="0" applyFill="1" applyAlignment="1">
      <alignment horizontal="center"/>
    </xf>
    <xf numFmtId="0" fontId="3" fillId="15" borderId="0" xfId="0" applyFont="1" applyFill="1" applyAlignment="1">
      <alignment horizontal="center"/>
    </xf>
    <xf numFmtId="0" fontId="0" fillId="28" borderId="0" xfId="0" applyFill="1"/>
    <xf numFmtId="0" fontId="3" fillId="28" borderId="0" xfId="0" applyFont="1" applyFill="1" applyAlignment="1">
      <alignment horizontal="center"/>
    </xf>
    <xf numFmtId="0" fontId="0" fillId="0" borderId="50" xfId="0" applyBorder="1" applyAlignment="1">
      <alignment horizontal="center"/>
    </xf>
    <xf numFmtId="0" fontId="0" fillId="29" borderId="5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15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15" borderId="0" xfId="0" applyNumberFormat="1" applyFont="1" applyFill="1" applyAlignment="1">
      <alignment horizontal="center"/>
    </xf>
    <xf numFmtId="2" fontId="3" fillId="15" borderId="0" xfId="0" applyNumberFormat="1" applyFont="1" applyFill="1" applyAlignment="1">
      <alignment horizontal="center"/>
    </xf>
    <xf numFmtId="2" fontId="0" fillId="15" borderId="0" xfId="0" applyNumberFormat="1" applyFill="1" applyAlignment="1">
      <alignment horizontal="center"/>
    </xf>
    <xf numFmtId="0" fontId="0" fillId="29" borderId="0" xfId="0" applyFill="1" applyAlignment="1">
      <alignment horizontal="center"/>
    </xf>
    <xf numFmtId="11" fontId="0" fillId="0" borderId="0" xfId="0" applyNumberFormat="1"/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0" fillId="25" borderId="31" xfId="2" applyFont="1" applyBorder="1" applyAlignment="1">
      <alignment horizontal="center"/>
    </xf>
    <xf numFmtId="0" fontId="20" fillId="25" borderId="32" xfId="2" applyFont="1" applyBorder="1" applyAlignment="1">
      <alignment horizontal="center"/>
    </xf>
    <xf numFmtId="0" fontId="20" fillId="25" borderId="33" xfId="2" applyFont="1" applyBorder="1" applyAlignment="1">
      <alignment horizontal="center"/>
    </xf>
    <xf numFmtId="0" fontId="21" fillId="26" borderId="11" xfId="3" applyFont="1" applyBorder="1" applyAlignment="1">
      <alignment horizontal="center" vertical="center"/>
    </xf>
    <xf numFmtId="0" fontId="21" fillId="26" borderId="12" xfId="3" applyFont="1" applyBorder="1" applyAlignment="1">
      <alignment horizontal="center" vertical="center"/>
    </xf>
    <xf numFmtId="0" fontId="21" fillId="26" borderId="13" xfId="3" applyFont="1" applyBorder="1" applyAlignment="1">
      <alignment horizontal="center" vertical="center"/>
    </xf>
    <xf numFmtId="0" fontId="21" fillId="26" borderId="15" xfId="3" applyFont="1" applyBorder="1" applyAlignment="1">
      <alignment horizontal="center" vertical="center"/>
    </xf>
    <xf numFmtId="0" fontId="21" fillId="26" borderId="25" xfId="3" applyFont="1" applyBorder="1" applyAlignment="1">
      <alignment horizontal="center" vertical="center"/>
    </xf>
    <xf numFmtId="0" fontId="21" fillId="26" borderId="27" xfId="3" applyFont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0" fontId="2" fillId="3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quotePrefix="1"/>
  </cellXfs>
  <cellStyles count="5">
    <cellStyle name="Incorrecto" xfId="2" builtinId="27"/>
    <cellStyle name="Millares" xfId="4" builtinId="3"/>
    <cellStyle name="Neutral" xfId="3" builtinId="28"/>
    <cellStyle name="Normal" xfId="0" builtinId="0"/>
    <cellStyle name="Porcentaje" xfId="1" builtinId="5"/>
  </cellStyles>
  <dxfs count="11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FFF00"/>
      <color rgb="FFC0C0C0"/>
      <color rgb="FFFFFF99"/>
      <color rgb="FFFFFFB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'Sensor de Luz 2 (obsoleto)'!$K$3:$K$5</c:f>
              <c:numCache>
                <c:formatCode>General</c:formatCode>
                <c:ptCount val="3"/>
                <c:pt idx="0">
                  <c:v>724</c:v>
                </c:pt>
                <c:pt idx="1">
                  <c:v>320</c:v>
                </c:pt>
                <c:pt idx="2">
                  <c:v>52</c:v>
                </c:pt>
              </c:numCache>
            </c:numRef>
          </c:xVal>
          <c:yVal>
            <c:numRef>
              <c:f>'Sensor de Luz 2 (obsoleto)'!$L$3:$L$5</c:f>
              <c:numCache>
                <c:formatCode>General</c:formatCode>
                <c:ptCount val="3"/>
                <c:pt idx="0">
                  <c:v>1</c:v>
                </c:pt>
                <c:pt idx="1">
                  <c:v>60</c:v>
                </c:pt>
                <c:pt idx="2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D-48BD-B158-9DB3EAAC4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11904"/>
        <c:axId val="88013440"/>
      </c:scatterChart>
      <c:valAx>
        <c:axId val="8801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013440"/>
        <c:crosses val="autoZero"/>
        <c:crossBetween val="midCat"/>
      </c:valAx>
      <c:valAx>
        <c:axId val="88013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011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'Sensor de Luz 2 (obsoleto)'!$N$3:$N$4</c:f>
              <c:numCache>
                <c:formatCode>General</c:formatCode>
                <c:ptCount val="2"/>
                <c:pt idx="0">
                  <c:v>724</c:v>
                </c:pt>
                <c:pt idx="1">
                  <c:v>52</c:v>
                </c:pt>
              </c:numCache>
            </c:numRef>
          </c:xVal>
          <c:yVal>
            <c:numRef>
              <c:f>'Sensor de Luz 2 (obsoleto)'!$O$3:$O$4</c:f>
              <c:numCache>
                <c:formatCode>General</c:formatCode>
                <c:ptCount val="2"/>
                <c:pt idx="0">
                  <c:v>1</c:v>
                </c:pt>
                <c:pt idx="1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80-4832-A5D2-EB39C6D4B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59360"/>
        <c:axId val="88160896"/>
      </c:scatterChart>
      <c:valAx>
        <c:axId val="8815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160896"/>
        <c:crosses val="autoZero"/>
        <c:crossBetween val="midCat"/>
      </c:valAx>
      <c:valAx>
        <c:axId val="8816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159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3.1650699912510939E-2"/>
                  <c:y val="-0.10569407990667833"/>
                </c:manualLayout>
              </c:layout>
              <c:numFmt formatCode="General" sourceLinked="0"/>
            </c:trendlineLbl>
          </c:trendline>
          <c:xVal>
            <c:numRef>
              <c:f>'Sensores (obsoleto)'!$I$2:$I$8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17</c:v>
                </c:pt>
                <c:pt idx="3">
                  <c:v>26</c:v>
                </c:pt>
                <c:pt idx="4">
                  <c:v>38</c:v>
                </c:pt>
                <c:pt idx="5">
                  <c:v>41</c:v>
                </c:pt>
                <c:pt idx="6">
                  <c:v>45</c:v>
                </c:pt>
              </c:numCache>
            </c:numRef>
          </c:xVal>
          <c:yVal>
            <c:numRef>
              <c:f>'Sensores (obsoleto)'!$H$2:$H$8</c:f>
              <c:numCache>
                <c:formatCode>General</c:formatCode>
                <c:ptCount val="7"/>
                <c:pt idx="0">
                  <c:v>158</c:v>
                </c:pt>
                <c:pt idx="1">
                  <c:v>165</c:v>
                </c:pt>
                <c:pt idx="2">
                  <c:v>186</c:v>
                </c:pt>
                <c:pt idx="3">
                  <c:v>205</c:v>
                </c:pt>
                <c:pt idx="4">
                  <c:v>231</c:v>
                </c:pt>
                <c:pt idx="5">
                  <c:v>236</c:v>
                </c:pt>
                <c:pt idx="6">
                  <c:v>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01-4BE3-A9B9-DF0ADF558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38368"/>
        <c:axId val="88939904"/>
      </c:scatterChart>
      <c:valAx>
        <c:axId val="8893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939904"/>
        <c:crosses val="autoZero"/>
        <c:crossBetween val="midCat"/>
      </c:valAx>
      <c:valAx>
        <c:axId val="8893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938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8.1828698317842466E-2"/>
                  <c:y val="4.6190162559595252E-2"/>
                </c:manualLayout>
              </c:layout>
              <c:numFmt formatCode="General" sourceLinked="0"/>
            </c:trendlineLbl>
          </c:trendline>
          <c:xVal>
            <c:numRef>
              <c:f>'Sensores (obsoleto)'!$H$2:$H$8</c:f>
              <c:numCache>
                <c:formatCode>General</c:formatCode>
                <c:ptCount val="7"/>
                <c:pt idx="0">
                  <c:v>158</c:v>
                </c:pt>
                <c:pt idx="1">
                  <c:v>165</c:v>
                </c:pt>
                <c:pt idx="2">
                  <c:v>186</c:v>
                </c:pt>
                <c:pt idx="3">
                  <c:v>205</c:v>
                </c:pt>
                <c:pt idx="4">
                  <c:v>231</c:v>
                </c:pt>
                <c:pt idx="5">
                  <c:v>236</c:v>
                </c:pt>
                <c:pt idx="6">
                  <c:v>247</c:v>
                </c:pt>
              </c:numCache>
            </c:numRef>
          </c:xVal>
          <c:yVal>
            <c:numRef>
              <c:f>'Sensores (obsoleto)'!$I$2:$I$8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17</c:v>
                </c:pt>
                <c:pt idx="3">
                  <c:v>26</c:v>
                </c:pt>
                <c:pt idx="4">
                  <c:v>38</c:v>
                </c:pt>
                <c:pt idx="5">
                  <c:v>41</c:v>
                </c:pt>
                <c:pt idx="6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5E-4674-B4FF-33010B319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74144"/>
        <c:axId val="90375680"/>
      </c:scatterChart>
      <c:valAx>
        <c:axId val="9037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375680"/>
        <c:crosses val="autoZero"/>
        <c:crossBetween val="midCat"/>
      </c:valAx>
      <c:valAx>
        <c:axId val="90375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374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'Sensores (obsoleto)'!$A$2:$A$6</c:f>
              <c:numCache>
                <c:formatCode>General</c:formatCode>
                <c:ptCount val="5"/>
                <c:pt idx="0">
                  <c:v>200</c:v>
                </c:pt>
                <c:pt idx="1">
                  <c:v>220</c:v>
                </c:pt>
                <c:pt idx="2">
                  <c:v>280</c:v>
                </c:pt>
                <c:pt idx="3">
                  <c:v>380</c:v>
                </c:pt>
                <c:pt idx="4">
                  <c:v>680</c:v>
                </c:pt>
              </c:numCache>
            </c:numRef>
          </c:xVal>
          <c:yVal>
            <c:numRef>
              <c:f>'Sensores (obsoleto)'!$B$2:$B$6</c:f>
              <c:numCache>
                <c:formatCode>General</c:formatCode>
                <c:ptCount val="5"/>
                <c:pt idx="0">
                  <c:v>100</c:v>
                </c:pt>
                <c:pt idx="1">
                  <c:v>75</c:v>
                </c:pt>
                <c:pt idx="2">
                  <c:v>30</c:v>
                </c:pt>
                <c:pt idx="3">
                  <c:v>10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5-414B-A865-98897765C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95776"/>
        <c:axId val="90397312"/>
      </c:scatterChart>
      <c:valAx>
        <c:axId val="9039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397312"/>
        <c:crosses val="autoZero"/>
        <c:crossBetween val="midCat"/>
      </c:valAx>
      <c:valAx>
        <c:axId val="90397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395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0.28892410323709539"/>
                  <c:y val="3.7304607757363661E-2"/>
                </c:manualLayout>
              </c:layout>
              <c:numFmt formatCode="General" sourceLinked="0"/>
            </c:trendlineLbl>
          </c:trendline>
          <c:xVal>
            <c:numRef>
              <c:f>'Sensores (obsoleto)'!$A$2:$A$3</c:f>
              <c:numCache>
                <c:formatCode>General</c:formatCode>
                <c:ptCount val="2"/>
                <c:pt idx="0">
                  <c:v>200</c:v>
                </c:pt>
                <c:pt idx="1">
                  <c:v>220</c:v>
                </c:pt>
              </c:numCache>
            </c:numRef>
          </c:xVal>
          <c:yVal>
            <c:numRef>
              <c:f>'Sensores (obsoleto)'!$B$2:$B$3</c:f>
              <c:numCache>
                <c:formatCode>General</c:formatCode>
                <c:ptCount val="2"/>
                <c:pt idx="0">
                  <c:v>100</c:v>
                </c:pt>
                <c:pt idx="1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D1-41AE-90F5-B403E15A8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34176"/>
        <c:axId val="90440064"/>
      </c:scatterChart>
      <c:valAx>
        <c:axId val="9043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440064"/>
        <c:crosses val="autoZero"/>
        <c:crossBetween val="midCat"/>
      </c:valAx>
      <c:valAx>
        <c:axId val="9044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434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1"/>
            <c:trendlineLbl>
              <c:layout>
                <c:manualLayout>
                  <c:x val="-0.39644881889763778"/>
                  <c:y val="-2.0151647710702828E-2"/>
                </c:manualLayout>
              </c:layout>
              <c:numFmt formatCode="General" sourceLinked="0"/>
            </c:trendlineLbl>
          </c:trendline>
          <c:xVal>
            <c:numRef>
              <c:f>'Sensores (obsoleto)'!$A$3:$A$5</c:f>
              <c:numCache>
                <c:formatCode>General</c:formatCode>
                <c:ptCount val="3"/>
                <c:pt idx="0">
                  <c:v>220</c:v>
                </c:pt>
                <c:pt idx="1">
                  <c:v>280</c:v>
                </c:pt>
                <c:pt idx="2">
                  <c:v>380</c:v>
                </c:pt>
              </c:numCache>
            </c:numRef>
          </c:xVal>
          <c:yVal>
            <c:numRef>
              <c:f>'Sensores (obsoleto)'!$B$3:$B$5</c:f>
              <c:numCache>
                <c:formatCode>General</c:formatCode>
                <c:ptCount val="3"/>
                <c:pt idx="0">
                  <c:v>75</c:v>
                </c:pt>
                <c:pt idx="1">
                  <c:v>30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DA-4154-9B85-1544FCBDC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53120"/>
        <c:axId val="90454656"/>
      </c:scatterChart>
      <c:valAx>
        <c:axId val="9045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454656"/>
        <c:crosses val="autoZero"/>
        <c:crossBetween val="midCat"/>
      </c:valAx>
      <c:valAx>
        <c:axId val="9045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453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0.35963363954505689"/>
                  <c:y val="-0.17010790317876931"/>
                </c:manualLayout>
              </c:layout>
              <c:numFmt formatCode="General" sourceLinked="0"/>
            </c:trendlineLbl>
          </c:trendline>
          <c:xVal>
            <c:numRef>
              <c:f>'Sensores (obsoleto)'!$A$5:$A$6</c:f>
              <c:numCache>
                <c:formatCode>General</c:formatCode>
                <c:ptCount val="2"/>
                <c:pt idx="0">
                  <c:v>380</c:v>
                </c:pt>
                <c:pt idx="1">
                  <c:v>680</c:v>
                </c:pt>
              </c:numCache>
            </c:numRef>
          </c:xVal>
          <c:yVal>
            <c:numRef>
              <c:f>'Sensores (obsoleto)'!$B$5:$B$6</c:f>
              <c:numCache>
                <c:formatCode>General</c:formatCode>
                <c:ptCount val="2"/>
                <c:pt idx="0">
                  <c:v>10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DF-44B5-98CF-3E0691E7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85120"/>
        <c:axId val="90486656"/>
      </c:scatterChart>
      <c:valAx>
        <c:axId val="9048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486656"/>
        <c:crosses val="autoZero"/>
        <c:crossBetween val="midCat"/>
      </c:valAx>
      <c:valAx>
        <c:axId val="90486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485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556260</xdr:colOff>
      <xdr:row>0</xdr:row>
      <xdr:rowOff>30480</xdr:rowOff>
    </xdr:from>
    <xdr:to>
      <xdr:col>11</xdr:col>
      <xdr:colOff>213880</xdr:colOff>
      <xdr:row>3</xdr:row>
      <xdr:rowOff>106734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BE66D0-6847-4A0D-87F3-60313DAE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700" y="30480"/>
          <a:ext cx="5997460" cy="6248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19046</xdr:colOff>
      <xdr:row>3</xdr:row>
      <xdr:rowOff>19049</xdr:rowOff>
    </xdr:from>
    <xdr:to>
      <xdr:col>5</xdr:col>
      <xdr:colOff>752473</xdr:colOff>
      <xdr:row>22</xdr:row>
      <xdr:rowOff>180976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046" t="52599" r="64851" b="34251"/>
        <a:stretch/>
      </xdr:blipFill>
      <xdr:spPr>
        <a:xfrm rot="5400000">
          <a:off x="2300284" y="2309811"/>
          <a:ext cx="3790952" cy="733427"/>
        </a:xfrm>
        <a:prstGeom prst="rect">
          <a:avLst/>
        </a:prstGeom>
        <a:ln w="15875">
          <a:solidFill>
            <a:schemeClr val="tx1"/>
          </a:solidFill>
        </a:ln>
      </xdr:spPr>
    </xdr:pic>
    <xdr:clientData/>
  </xdr:twoCellAnchor>
  <xdr:twoCellAnchor>
    <xdr:from>
      <xdr:col>5</xdr:col>
      <xdr:colOff>9525</xdr:colOff>
      <xdr:row>13</xdr:row>
      <xdr:rowOff>0</xdr:rowOff>
    </xdr:from>
    <xdr:to>
      <xdr:col>8</xdr:col>
      <xdr:colOff>0</xdr:colOff>
      <xdr:row>13</xdr:row>
      <xdr:rowOff>0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819525" y="2686050"/>
          <a:ext cx="3038475" cy="0"/>
        </a:xfrm>
        <a:prstGeom prst="line">
          <a:avLst/>
        </a:prstGeom>
        <a:ln w="22225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601980</xdr:colOff>
      <xdr:row>15</xdr:row>
      <xdr:rowOff>53340</xdr:rowOff>
    </xdr:from>
    <xdr:to>
      <xdr:col>16</xdr:col>
      <xdr:colOff>670560</xdr:colOff>
      <xdr:row>28</xdr:row>
      <xdr:rowOff>22860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EFB3396-A3AD-3B67-F371-8E4DB664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0" y="2819400"/>
          <a:ext cx="5539740" cy="235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11</xdr:row>
      <xdr:rowOff>119062</xdr:rowOff>
    </xdr:from>
    <xdr:to>
      <xdr:col>6</xdr:col>
      <xdr:colOff>171450</xdr:colOff>
      <xdr:row>26</xdr:row>
      <xdr:rowOff>4762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13</xdr:row>
      <xdr:rowOff>119062</xdr:rowOff>
    </xdr:from>
    <xdr:to>
      <xdr:col>13</xdr:col>
      <xdr:colOff>66675</xdr:colOff>
      <xdr:row>28</xdr:row>
      <xdr:rowOff>4762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10</xdr:row>
      <xdr:rowOff>52386</xdr:rowOff>
    </xdr:from>
    <xdr:to>
      <xdr:col>13</xdr:col>
      <xdr:colOff>514350</xdr:colOff>
      <xdr:row>26</xdr:row>
      <xdr:rowOff>133349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314324</xdr:colOff>
      <xdr:row>10</xdr:row>
      <xdr:rowOff>147636</xdr:rowOff>
    </xdr:from>
    <xdr:to>
      <xdr:col>22</xdr:col>
      <xdr:colOff>342899</xdr:colOff>
      <xdr:row>27</xdr:row>
      <xdr:rowOff>114299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695325</xdr:colOff>
      <xdr:row>7</xdr:row>
      <xdr:rowOff>61912</xdr:rowOff>
    </xdr:from>
    <xdr:to>
      <xdr:col>28</xdr:col>
      <xdr:colOff>695325</xdr:colOff>
      <xdr:row>18</xdr:row>
      <xdr:rowOff>138112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323850</xdr:colOff>
      <xdr:row>23</xdr:row>
      <xdr:rowOff>171450</xdr:rowOff>
    </xdr:from>
    <xdr:to>
      <xdr:col>11</xdr:col>
      <xdr:colOff>238125</xdr:colOff>
      <xdr:row>38</xdr:row>
      <xdr:rowOff>57150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171450</xdr:colOff>
      <xdr:row>23</xdr:row>
      <xdr:rowOff>171450</xdr:rowOff>
    </xdr:from>
    <xdr:to>
      <xdr:col>18</xdr:col>
      <xdr:colOff>171450</xdr:colOff>
      <xdr:row>38</xdr:row>
      <xdr:rowOff>57150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371475</xdr:colOff>
      <xdr:row>24</xdr:row>
      <xdr:rowOff>47625</xdr:rowOff>
    </xdr:from>
    <xdr:to>
      <xdr:col>24</xdr:col>
      <xdr:colOff>371475</xdr:colOff>
      <xdr:row>38</xdr:row>
      <xdr:rowOff>123825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6F4E9-7890-46E8-8DEA-A5685AEE8D14}" name="Tabla1" displayName="Tabla1" ref="A1:H231" totalsRowShown="0" headerRowDxfId="10" dataDxfId="8" headerRowBorderDxfId="9">
  <tableColumns count="8">
    <tableColumn id="1" xr3:uid="{37A22C23-BC30-49AA-B326-A1A665DE0E10}" name="N0" dataDxfId="7"/>
    <tableColumn id="2" xr3:uid="{A945BC43-56EA-42D1-88E7-9CC1375157D6}" name="N1" dataDxfId="6"/>
    <tableColumn id="3" xr3:uid="{DC83EF50-3F7A-4A55-B831-73AF872B92FE}" name="N2" dataDxfId="5"/>
    <tableColumn id="4" xr3:uid="{2E116F34-CF61-46B6-958B-A614B3844A16}" name="N3" dataDxfId="4"/>
    <tableColumn id="6" xr3:uid="{5E02D65D-FDB3-40F5-A1AD-DD3083A54229}" name="Rango Payload" dataDxfId="3"/>
    <tableColumn id="7" xr3:uid="{D0C21E99-3683-47CE-8162-53670A473B09}" name="Descripcion" dataDxfId="2"/>
    <tableColumn id="8" xr3:uid="{34315CEB-589C-457C-B542-0E8C25FB074F}" name="Ejecutor" dataDxfId="1"/>
    <tableColumn id="9" xr3:uid="{2847A5A1-3512-43C6-A36A-BE14AD70CE84}" name="Topic complet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9"/>
  <sheetViews>
    <sheetView topLeftCell="A16" workbookViewId="0">
      <selection activeCell="C8" sqref="C8"/>
    </sheetView>
  </sheetViews>
  <sheetFormatPr baseColWidth="10" defaultRowHeight="14.4" x14ac:dyDescent="0.3"/>
  <cols>
    <col min="1" max="1" width="6.6640625" customWidth="1"/>
    <col min="2" max="2" width="5.33203125" customWidth="1"/>
    <col min="5" max="5" width="11.44140625" style="25"/>
    <col min="6" max="6" width="10.33203125" bestFit="1" customWidth="1"/>
    <col min="7" max="7" width="20.33203125" customWidth="1"/>
    <col min="10" max="10" width="13.88671875" bestFit="1" customWidth="1"/>
    <col min="12" max="12" width="24.6640625" customWidth="1"/>
    <col min="13" max="13" width="27.88671875" bestFit="1" customWidth="1"/>
    <col min="14" max="14" width="23" bestFit="1" customWidth="1"/>
    <col min="15" max="15" width="18.33203125" bestFit="1" customWidth="1"/>
  </cols>
  <sheetData>
    <row r="1" spans="1:15" ht="15" thickBot="1" x14ac:dyDescent="0.35"/>
    <row r="2" spans="1:15" ht="15" thickBot="1" x14ac:dyDescent="0.35">
      <c r="C2" s="205" t="s">
        <v>180</v>
      </c>
      <c r="D2" s="206"/>
      <c r="F2" s="207" t="s">
        <v>179</v>
      </c>
      <c r="G2" s="208"/>
      <c r="J2" s="209" t="s">
        <v>154</v>
      </c>
      <c r="K2" s="210"/>
      <c r="L2" s="210"/>
      <c r="M2" s="210"/>
      <c r="N2" s="210"/>
      <c r="O2" s="211"/>
    </row>
    <row r="3" spans="1:15" ht="15" thickBot="1" x14ac:dyDescent="0.35">
      <c r="C3" s="15" t="s">
        <v>2</v>
      </c>
      <c r="D3" s="16" t="s">
        <v>3</v>
      </c>
      <c r="E3" s="25" t="s">
        <v>21</v>
      </c>
      <c r="F3" s="17" t="s">
        <v>7</v>
      </c>
      <c r="G3" s="28" t="s">
        <v>8</v>
      </c>
      <c r="J3" s="214" t="s">
        <v>175</v>
      </c>
      <c r="K3" s="212" t="s">
        <v>176</v>
      </c>
      <c r="L3" s="213"/>
      <c r="M3" s="212" t="s">
        <v>177</v>
      </c>
      <c r="N3" s="213"/>
      <c r="O3" s="216" t="s">
        <v>178</v>
      </c>
    </row>
    <row r="4" spans="1:15" ht="15" thickBot="1" x14ac:dyDescent="0.35">
      <c r="C4" s="55">
        <v>30</v>
      </c>
      <c r="D4" s="56" t="s">
        <v>81</v>
      </c>
      <c r="F4" s="11">
        <v>27</v>
      </c>
      <c r="G4" s="27">
        <v>0.1</v>
      </c>
      <c r="I4" s="45"/>
      <c r="J4" s="215"/>
      <c r="K4" s="96" t="s">
        <v>0</v>
      </c>
      <c r="L4" s="97" t="s">
        <v>8</v>
      </c>
      <c r="M4" s="96" t="s">
        <v>0</v>
      </c>
      <c r="N4" s="97" t="s">
        <v>8</v>
      </c>
      <c r="O4" s="217"/>
    </row>
    <row r="5" spans="1:15" x14ac:dyDescent="0.3">
      <c r="A5">
        <v>1</v>
      </c>
      <c r="B5">
        <f>C5-1</f>
        <v>32</v>
      </c>
      <c r="C5" s="18">
        <v>33</v>
      </c>
      <c r="D5" s="9">
        <v>1</v>
      </c>
      <c r="E5" s="25">
        <f>250-C5</f>
        <v>217</v>
      </c>
      <c r="F5" s="11">
        <v>24</v>
      </c>
      <c r="G5" s="13">
        <v>0.2</v>
      </c>
      <c r="J5" s="90">
        <v>250</v>
      </c>
      <c r="K5" s="88">
        <v>29</v>
      </c>
      <c r="L5" s="89" t="s">
        <v>118</v>
      </c>
      <c r="M5" s="93">
        <v>29</v>
      </c>
      <c r="N5" s="89" t="s">
        <v>118</v>
      </c>
      <c r="O5" s="91" t="s">
        <v>167</v>
      </c>
    </row>
    <row r="6" spans="1:15" x14ac:dyDescent="0.3">
      <c r="A6">
        <v>2</v>
      </c>
      <c r="C6" s="19">
        <v>34</v>
      </c>
      <c r="D6" s="8">
        <v>2</v>
      </c>
      <c r="E6" s="25">
        <f t="shared" ref="E6:E65" si="0">250-C6</f>
        <v>216</v>
      </c>
      <c r="F6" s="11">
        <v>21</v>
      </c>
      <c r="G6" s="13">
        <v>0.3</v>
      </c>
      <c r="J6" s="11">
        <v>250</v>
      </c>
      <c r="K6" s="85" t="s">
        <v>155</v>
      </c>
      <c r="L6" s="86" t="s">
        <v>156</v>
      </c>
      <c r="M6" s="94" t="s">
        <v>169</v>
      </c>
      <c r="N6" s="86" t="s">
        <v>170</v>
      </c>
      <c r="O6" s="92" t="s">
        <v>167</v>
      </c>
    </row>
    <row r="7" spans="1:15" x14ac:dyDescent="0.3">
      <c r="A7">
        <v>3</v>
      </c>
      <c r="C7" s="19">
        <v>35</v>
      </c>
      <c r="D7" s="8">
        <v>3</v>
      </c>
      <c r="E7" s="25">
        <f t="shared" si="0"/>
        <v>215</v>
      </c>
      <c r="F7" s="11">
        <v>18</v>
      </c>
      <c r="G7" s="13">
        <v>0.4</v>
      </c>
      <c r="J7" s="11">
        <v>250</v>
      </c>
      <c r="K7" s="85">
        <v>100</v>
      </c>
      <c r="L7" s="86" t="s">
        <v>157</v>
      </c>
      <c r="M7" s="94" t="s">
        <v>169</v>
      </c>
      <c r="N7" s="86" t="s">
        <v>170</v>
      </c>
      <c r="O7" s="92" t="s">
        <v>167</v>
      </c>
    </row>
    <row r="8" spans="1:15" x14ac:dyDescent="0.3">
      <c r="A8">
        <v>4</v>
      </c>
      <c r="C8" s="19">
        <v>36</v>
      </c>
      <c r="D8" s="8">
        <v>4</v>
      </c>
      <c r="E8" s="25">
        <f t="shared" si="0"/>
        <v>214</v>
      </c>
      <c r="F8" s="11">
        <v>15</v>
      </c>
      <c r="G8" s="13">
        <v>0.5</v>
      </c>
      <c r="J8" s="11">
        <v>250</v>
      </c>
      <c r="K8" s="85">
        <v>150</v>
      </c>
      <c r="L8" s="86" t="s">
        <v>158</v>
      </c>
      <c r="M8" s="94" t="s">
        <v>164</v>
      </c>
      <c r="N8" s="86" t="s">
        <v>171</v>
      </c>
      <c r="O8" s="92" t="s">
        <v>167</v>
      </c>
    </row>
    <row r="9" spans="1:15" x14ac:dyDescent="0.3">
      <c r="A9">
        <v>5</v>
      </c>
      <c r="C9" s="19">
        <v>37</v>
      </c>
      <c r="D9" s="8">
        <v>5</v>
      </c>
      <c r="E9" s="25">
        <f t="shared" si="0"/>
        <v>213</v>
      </c>
      <c r="F9" s="11">
        <v>12</v>
      </c>
      <c r="G9" s="13">
        <v>0.6</v>
      </c>
      <c r="J9" s="128">
        <v>250</v>
      </c>
      <c r="K9" s="129">
        <v>151</v>
      </c>
      <c r="L9" s="130" t="s">
        <v>80</v>
      </c>
      <c r="M9" s="131" t="s">
        <v>164</v>
      </c>
      <c r="N9" s="130" t="s">
        <v>171</v>
      </c>
      <c r="O9" s="132" t="s">
        <v>167</v>
      </c>
    </row>
    <row r="10" spans="1:15" x14ac:dyDescent="0.3">
      <c r="A10">
        <v>6</v>
      </c>
      <c r="C10" s="19">
        <v>38</v>
      </c>
      <c r="D10" s="8">
        <v>6</v>
      </c>
      <c r="E10" s="25">
        <f t="shared" si="0"/>
        <v>212</v>
      </c>
      <c r="F10" s="11">
        <v>9</v>
      </c>
      <c r="G10" s="13">
        <v>0.7</v>
      </c>
      <c r="J10" s="11">
        <v>250</v>
      </c>
      <c r="K10" s="85">
        <v>155</v>
      </c>
      <c r="L10" s="86" t="s">
        <v>60</v>
      </c>
      <c r="M10" s="94" t="s">
        <v>165</v>
      </c>
      <c r="N10" s="86" t="s">
        <v>172</v>
      </c>
      <c r="O10" s="92" t="s">
        <v>167</v>
      </c>
    </row>
    <row r="11" spans="1:15" x14ac:dyDescent="0.3">
      <c r="A11">
        <v>7</v>
      </c>
      <c r="C11" s="19">
        <v>39</v>
      </c>
      <c r="D11" s="8">
        <v>7</v>
      </c>
      <c r="E11" s="25">
        <f t="shared" si="0"/>
        <v>211</v>
      </c>
      <c r="F11" s="11">
        <v>6</v>
      </c>
      <c r="G11" s="13">
        <v>0.8</v>
      </c>
      <c r="J11" s="11">
        <v>250</v>
      </c>
      <c r="K11" s="85">
        <v>160</v>
      </c>
      <c r="L11" s="86" t="s">
        <v>159</v>
      </c>
      <c r="M11" s="94" t="s">
        <v>166</v>
      </c>
      <c r="N11" s="86" t="s">
        <v>173</v>
      </c>
      <c r="O11" s="92" t="s">
        <v>167</v>
      </c>
    </row>
    <row r="12" spans="1:15" x14ac:dyDescent="0.3">
      <c r="A12">
        <v>8</v>
      </c>
      <c r="C12" s="19">
        <v>40</v>
      </c>
      <c r="D12" s="8">
        <v>8</v>
      </c>
      <c r="E12" s="25">
        <f t="shared" si="0"/>
        <v>210</v>
      </c>
      <c r="F12" s="11">
        <v>3</v>
      </c>
      <c r="G12" s="13">
        <v>0.9</v>
      </c>
      <c r="J12" s="11">
        <v>250</v>
      </c>
      <c r="K12" s="85">
        <v>165</v>
      </c>
      <c r="L12" s="86" t="s">
        <v>160</v>
      </c>
      <c r="M12" s="94" t="s">
        <v>166</v>
      </c>
      <c r="N12" s="86" t="s">
        <v>173</v>
      </c>
      <c r="O12" s="92" t="s">
        <v>167</v>
      </c>
    </row>
    <row r="13" spans="1:15" x14ac:dyDescent="0.3">
      <c r="A13">
        <v>9</v>
      </c>
      <c r="C13" s="19">
        <v>41</v>
      </c>
      <c r="D13" s="8">
        <v>9</v>
      </c>
      <c r="E13" s="25">
        <f t="shared" si="0"/>
        <v>209</v>
      </c>
      <c r="F13" s="11">
        <v>0</v>
      </c>
      <c r="G13" s="13">
        <v>1</v>
      </c>
      <c r="J13" s="11">
        <v>250</v>
      </c>
      <c r="K13" s="85">
        <v>163</v>
      </c>
      <c r="L13" s="86" t="s">
        <v>161</v>
      </c>
      <c r="M13" s="94" t="s">
        <v>166</v>
      </c>
      <c r="N13" s="86" t="s">
        <v>173</v>
      </c>
      <c r="O13" s="92" t="s">
        <v>167</v>
      </c>
    </row>
    <row r="14" spans="1:15" ht="15" thickBot="1" x14ac:dyDescent="0.35">
      <c r="A14">
        <v>10</v>
      </c>
      <c r="C14" s="19">
        <v>42</v>
      </c>
      <c r="D14" s="8">
        <v>10</v>
      </c>
      <c r="E14" s="25">
        <f t="shared" si="0"/>
        <v>208</v>
      </c>
      <c r="F14" s="23" t="s">
        <v>20</v>
      </c>
      <c r="G14" s="24" t="s">
        <v>20</v>
      </c>
      <c r="J14" s="11">
        <v>250</v>
      </c>
      <c r="K14" s="85">
        <v>164</v>
      </c>
      <c r="L14" s="86" t="s">
        <v>162</v>
      </c>
      <c r="M14" s="94" t="s">
        <v>166</v>
      </c>
      <c r="N14" s="86" t="s">
        <v>173</v>
      </c>
      <c r="O14" s="92" t="s">
        <v>167</v>
      </c>
    </row>
    <row r="15" spans="1:15" ht="15" thickBot="1" x14ac:dyDescent="0.35">
      <c r="A15">
        <v>11</v>
      </c>
      <c r="C15" s="19">
        <v>43</v>
      </c>
      <c r="D15" s="8">
        <v>11</v>
      </c>
      <c r="E15" s="25">
        <f t="shared" si="0"/>
        <v>207</v>
      </c>
      <c r="F15" s="10">
        <v>80</v>
      </c>
      <c r="G15" s="12" t="s">
        <v>4</v>
      </c>
      <c r="J15" s="26">
        <v>250</v>
      </c>
      <c r="K15" s="21">
        <v>184</v>
      </c>
      <c r="L15" s="87" t="s">
        <v>163</v>
      </c>
      <c r="M15" s="95" t="s">
        <v>168</v>
      </c>
      <c r="N15" s="87" t="s">
        <v>174</v>
      </c>
      <c r="O15" s="57" t="s">
        <v>167</v>
      </c>
    </row>
    <row r="16" spans="1:15" x14ac:dyDescent="0.3">
      <c r="A16">
        <v>12</v>
      </c>
      <c r="C16" s="19">
        <v>44</v>
      </c>
      <c r="D16" s="8">
        <v>12</v>
      </c>
      <c r="E16" s="25">
        <f t="shared" si="0"/>
        <v>206</v>
      </c>
      <c r="F16" s="11">
        <v>90</v>
      </c>
      <c r="G16" s="12" t="s">
        <v>5</v>
      </c>
    </row>
    <row r="17" spans="1:8" x14ac:dyDescent="0.3">
      <c r="A17">
        <v>13</v>
      </c>
      <c r="B17">
        <f>C17-1</f>
        <v>44</v>
      </c>
      <c r="C17" s="20">
        <v>45</v>
      </c>
      <c r="D17" s="8">
        <v>1</v>
      </c>
      <c r="E17" s="25">
        <f t="shared" si="0"/>
        <v>205</v>
      </c>
      <c r="F17" s="11">
        <v>102</v>
      </c>
      <c r="G17" s="12" t="s">
        <v>18</v>
      </c>
      <c r="H17" t="s">
        <v>15</v>
      </c>
    </row>
    <row r="18" spans="1:8" x14ac:dyDescent="0.3">
      <c r="A18">
        <v>14</v>
      </c>
      <c r="C18" s="20">
        <v>46</v>
      </c>
      <c r="D18" s="8">
        <v>2</v>
      </c>
      <c r="E18" s="25">
        <f t="shared" si="0"/>
        <v>204</v>
      </c>
      <c r="F18" s="11">
        <v>95</v>
      </c>
      <c r="G18" s="12" t="s">
        <v>19</v>
      </c>
      <c r="H18" t="s">
        <v>16</v>
      </c>
    </row>
    <row r="19" spans="1:8" x14ac:dyDescent="0.3">
      <c r="A19">
        <v>15</v>
      </c>
      <c r="C19" s="20">
        <v>47</v>
      </c>
      <c r="D19" s="8">
        <v>3</v>
      </c>
      <c r="E19" s="25">
        <f t="shared" si="0"/>
        <v>203</v>
      </c>
      <c r="F19" s="11">
        <v>96</v>
      </c>
      <c r="G19" s="12" t="s">
        <v>6</v>
      </c>
      <c r="H19" t="s">
        <v>17</v>
      </c>
    </row>
    <row r="20" spans="1:8" x14ac:dyDescent="0.3">
      <c r="A20">
        <v>16</v>
      </c>
      <c r="C20" s="20">
        <v>48</v>
      </c>
      <c r="D20" s="8">
        <v>4</v>
      </c>
      <c r="E20" s="25">
        <f t="shared" si="0"/>
        <v>202</v>
      </c>
      <c r="F20" s="23" t="s">
        <v>20</v>
      </c>
      <c r="G20" s="24" t="s">
        <v>20</v>
      </c>
    </row>
    <row r="21" spans="1:8" x14ac:dyDescent="0.3">
      <c r="A21">
        <v>17</v>
      </c>
      <c r="C21" s="20">
        <v>49</v>
      </c>
      <c r="D21" s="8">
        <v>5</v>
      </c>
      <c r="E21" s="25">
        <f t="shared" si="0"/>
        <v>201</v>
      </c>
      <c r="F21" s="11">
        <v>120</v>
      </c>
      <c r="G21" s="12" t="s">
        <v>9</v>
      </c>
    </row>
    <row r="22" spans="1:8" x14ac:dyDescent="0.3">
      <c r="A22">
        <v>18</v>
      </c>
      <c r="C22" s="20">
        <v>50</v>
      </c>
      <c r="D22" s="8">
        <v>6</v>
      </c>
      <c r="E22" s="25">
        <f t="shared" si="0"/>
        <v>200</v>
      </c>
      <c r="F22" s="11">
        <v>121</v>
      </c>
      <c r="G22" s="12" t="s">
        <v>10</v>
      </c>
    </row>
    <row r="23" spans="1:8" x14ac:dyDescent="0.3">
      <c r="A23">
        <v>19</v>
      </c>
      <c r="C23" s="20">
        <v>51</v>
      </c>
      <c r="D23" s="8">
        <v>7</v>
      </c>
      <c r="E23" s="25">
        <f t="shared" si="0"/>
        <v>199</v>
      </c>
      <c r="F23" s="11">
        <v>122</v>
      </c>
      <c r="G23" s="12" t="s">
        <v>11</v>
      </c>
    </row>
    <row r="24" spans="1:8" x14ac:dyDescent="0.3">
      <c r="A24">
        <v>20</v>
      </c>
      <c r="C24" s="20">
        <v>52</v>
      </c>
      <c r="D24" s="8">
        <v>8</v>
      </c>
      <c r="E24" s="25">
        <f t="shared" si="0"/>
        <v>198</v>
      </c>
      <c r="F24" s="11">
        <v>123</v>
      </c>
      <c r="G24" s="12" t="s">
        <v>24</v>
      </c>
    </row>
    <row r="25" spans="1:8" x14ac:dyDescent="0.3">
      <c r="A25">
        <v>21</v>
      </c>
      <c r="C25" s="20">
        <v>53</v>
      </c>
      <c r="D25" s="8">
        <v>9</v>
      </c>
      <c r="E25" s="25">
        <f t="shared" si="0"/>
        <v>197</v>
      </c>
      <c r="F25" s="23" t="s">
        <v>20</v>
      </c>
      <c r="G25" s="24" t="s">
        <v>20</v>
      </c>
    </row>
    <row r="26" spans="1:8" x14ac:dyDescent="0.3">
      <c r="A26">
        <v>22</v>
      </c>
      <c r="C26" s="20">
        <v>54</v>
      </c>
      <c r="D26" s="8">
        <v>10</v>
      </c>
      <c r="E26" s="25">
        <f t="shared" si="0"/>
        <v>196</v>
      </c>
      <c r="F26" s="128">
        <v>130</v>
      </c>
      <c r="G26" s="133" t="s">
        <v>12</v>
      </c>
    </row>
    <row r="27" spans="1:8" x14ac:dyDescent="0.3">
      <c r="A27">
        <v>23</v>
      </c>
      <c r="C27" s="20">
        <v>55</v>
      </c>
      <c r="D27" s="8">
        <v>11</v>
      </c>
      <c r="E27" s="25">
        <f t="shared" si="0"/>
        <v>195</v>
      </c>
      <c r="F27" s="128">
        <v>131</v>
      </c>
      <c r="G27" s="133" t="s">
        <v>13</v>
      </c>
    </row>
    <row r="28" spans="1:8" x14ac:dyDescent="0.3">
      <c r="A28">
        <v>24</v>
      </c>
      <c r="C28" s="20">
        <v>56</v>
      </c>
      <c r="D28" s="8">
        <v>12</v>
      </c>
      <c r="E28" s="25">
        <f t="shared" si="0"/>
        <v>194</v>
      </c>
      <c r="F28" s="128">
        <v>132</v>
      </c>
      <c r="G28" s="133" t="s">
        <v>14</v>
      </c>
    </row>
    <row r="29" spans="1:8" x14ac:dyDescent="0.3">
      <c r="A29">
        <v>25</v>
      </c>
      <c r="B29">
        <f>C29-1</f>
        <v>56</v>
      </c>
      <c r="C29" s="19">
        <v>57</v>
      </c>
      <c r="D29" s="8">
        <v>1</v>
      </c>
      <c r="E29" s="25">
        <f t="shared" si="0"/>
        <v>193</v>
      </c>
      <c r="F29" s="23" t="s">
        <v>20</v>
      </c>
      <c r="G29" s="24" t="s">
        <v>20</v>
      </c>
    </row>
    <row r="30" spans="1:8" x14ac:dyDescent="0.3">
      <c r="A30">
        <v>26</v>
      </c>
      <c r="C30" s="19">
        <v>58</v>
      </c>
      <c r="D30" s="8">
        <v>2</v>
      </c>
      <c r="E30" s="25">
        <f t="shared" si="0"/>
        <v>192</v>
      </c>
      <c r="F30" s="11">
        <v>140</v>
      </c>
      <c r="G30" s="12" t="s">
        <v>22</v>
      </c>
    </row>
    <row r="31" spans="1:8" ht="15" thickBot="1" x14ac:dyDescent="0.35">
      <c r="A31">
        <v>27</v>
      </c>
      <c r="C31" s="19">
        <v>59</v>
      </c>
      <c r="D31" s="8">
        <v>3</v>
      </c>
      <c r="E31" s="25">
        <f t="shared" si="0"/>
        <v>191</v>
      </c>
      <c r="F31" s="26">
        <v>141</v>
      </c>
      <c r="G31" s="14" t="s">
        <v>23</v>
      </c>
    </row>
    <row r="32" spans="1:8" x14ac:dyDescent="0.3">
      <c r="A32">
        <v>28</v>
      </c>
      <c r="C32" s="19">
        <v>60</v>
      </c>
      <c r="D32" s="8">
        <v>4</v>
      </c>
      <c r="E32" s="25">
        <f t="shared" si="0"/>
        <v>190</v>
      </c>
    </row>
    <row r="33" spans="1:7" ht="15" thickBot="1" x14ac:dyDescent="0.35">
      <c r="A33">
        <v>29</v>
      </c>
      <c r="C33" s="19">
        <v>61</v>
      </c>
      <c r="D33" s="8">
        <v>5</v>
      </c>
      <c r="E33" s="25">
        <f t="shared" si="0"/>
        <v>189</v>
      </c>
    </row>
    <row r="34" spans="1:7" x14ac:dyDescent="0.3">
      <c r="A34">
        <v>30</v>
      </c>
      <c r="C34" s="19">
        <v>62</v>
      </c>
      <c r="D34" s="8">
        <v>6</v>
      </c>
      <c r="E34" s="25">
        <f t="shared" si="0"/>
        <v>188</v>
      </c>
      <c r="F34" s="58" t="s">
        <v>90</v>
      </c>
      <c r="G34" s="61" t="s">
        <v>85</v>
      </c>
    </row>
    <row r="35" spans="1:7" x14ac:dyDescent="0.3">
      <c r="A35">
        <v>31</v>
      </c>
      <c r="C35" s="19">
        <v>63</v>
      </c>
      <c r="D35" s="8">
        <v>7</v>
      </c>
      <c r="E35" s="25">
        <f t="shared" si="0"/>
        <v>187</v>
      </c>
      <c r="F35" s="59" t="s">
        <v>90</v>
      </c>
      <c r="G35" s="62" t="s">
        <v>84</v>
      </c>
    </row>
    <row r="36" spans="1:7" x14ac:dyDescent="0.3">
      <c r="A36">
        <v>32</v>
      </c>
      <c r="C36" s="19">
        <v>64</v>
      </c>
      <c r="D36" s="8">
        <v>8</v>
      </c>
      <c r="E36" s="25">
        <f t="shared" si="0"/>
        <v>186</v>
      </c>
      <c r="F36" s="59" t="s">
        <v>90</v>
      </c>
      <c r="G36" s="63" t="s">
        <v>82</v>
      </c>
    </row>
    <row r="37" spans="1:7" x14ac:dyDescent="0.3">
      <c r="A37">
        <v>33</v>
      </c>
      <c r="C37" s="19">
        <v>65</v>
      </c>
      <c r="D37" s="8">
        <v>9</v>
      </c>
      <c r="E37" s="25">
        <f t="shared" si="0"/>
        <v>185</v>
      </c>
      <c r="F37" s="59" t="s">
        <v>90</v>
      </c>
      <c r="G37" s="63" t="s">
        <v>83</v>
      </c>
    </row>
    <row r="38" spans="1:7" x14ac:dyDescent="0.3">
      <c r="A38">
        <v>34</v>
      </c>
      <c r="C38" s="19">
        <v>66</v>
      </c>
      <c r="D38" s="8">
        <v>10</v>
      </c>
      <c r="E38" s="25">
        <f t="shared" si="0"/>
        <v>184</v>
      </c>
      <c r="F38" s="59" t="s">
        <v>90</v>
      </c>
      <c r="G38" s="64" t="s">
        <v>86</v>
      </c>
    </row>
    <row r="39" spans="1:7" x14ac:dyDescent="0.3">
      <c r="A39">
        <v>35</v>
      </c>
      <c r="C39" s="19">
        <v>67</v>
      </c>
      <c r="D39" s="8">
        <v>11</v>
      </c>
      <c r="E39" s="25">
        <f t="shared" si="0"/>
        <v>183</v>
      </c>
      <c r="F39" s="59" t="s">
        <v>90</v>
      </c>
      <c r="G39" s="65" t="s">
        <v>87</v>
      </c>
    </row>
    <row r="40" spans="1:7" x14ac:dyDescent="0.3">
      <c r="A40">
        <v>36</v>
      </c>
      <c r="C40" s="19">
        <v>68</v>
      </c>
      <c r="D40" s="8">
        <v>12</v>
      </c>
      <c r="E40" s="25">
        <f t="shared" si="0"/>
        <v>182</v>
      </c>
      <c r="F40" s="59" t="s">
        <v>90</v>
      </c>
      <c r="G40" s="66" t="s">
        <v>88</v>
      </c>
    </row>
    <row r="41" spans="1:7" ht="15" thickBot="1" x14ac:dyDescent="0.35">
      <c r="A41">
        <v>37</v>
      </c>
      <c r="B41">
        <f>C41-1</f>
        <v>68</v>
      </c>
      <c r="C41" s="20">
        <v>69</v>
      </c>
      <c r="D41" s="8">
        <v>1</v>
      </c>
      <c r="E41" s="25">
        <f t="shared" si="0"/>
        <v>181</v>
      </c>
      <c r="F41" s="60" t="s">
        <v>90</v>
      </c>
      <c r="G41" s="57" t="s">
        <v>89</v>
      </c>
    </row>
    <row r="42" spans="1:7" x14ac:dyDescent="0.3">
      <c r="A42">
        <v>38</v>
      </c>
      <c r="C42" s="20">
        <v>70</v>
      </c>
      <c r="D42" s="8">
        <v>2</v>
      </c>
      <c r="E42" s="25">
        <f t="shared" si="0"/>
        <v>180</v>
      </c>
    </row>
    <row r="43" spans="1:7" x14ac:dyDescent="0.3">
      <c r="A43">
        <v>39</v>
      </c>
      <c r="C43" s="20">
        <v>71</v>
      </c>
      <c r="D43" s="8">
        <v>3</v>
      </c>
      <c r="E43" s="25">
        <f t="shared" si="0"/>
        <v>179</v>
      </c>
    </row>
    <row r="44" spans="1:7" x14ac:dyDescent="0.3">
      <c r="A44">
        <v>40</v>
      </c>
      <c r="C44" s="20">
        <v>72</v>
      </c>
      <c r="D44" s="8">
        <v>4</v>
      </c>
      <c r="E44" s="25">
        <f t="shared" si="0"/>
        <v>178</v>
      </c>
    </row>
    <row r="45" spans="1:7" x14ac:dyDescent="0.3">
      <c r="A45">
        <v>41</v>
      </c>
      <c r="C45" s="20">
        <v>73</v>
      </c>
      <c r="D45" s="8">
        <v>5</v>
      </c>
      <c r="E45" s="25">
        <f t="shared" si="0"/>
        <v>177</v>
      </c>
    </row>
    <row r="46" spans="1:7" x14ac:dyDescent="0.3">
      <c r="A46">
        <v>42</v>
      </c>
      <c r="C46" s="20">
        <v>74</v>
      </c>
      <c r="D46" s="8">
        <v>6</v>
      </c>
      <c r="E46" s="25">
        <f t="shared" si="0"/>
        <v>176</v>
      </c>
    </row>
    <row r="47" spans="1:7" x14ac:dyDescent="0.3">
      <c r="A47">
        <v>43</v>
      </c>
      <c r="C47" s="20">
        <v>75</v>
      </c>
      <c r="D47" s="8">
        <v>7</v>
      </c>
      <c r="E47" s="25">
        <f t="shared" si="0"/>
        <v>175</v>
      </c>
    </row>
    <row r="48" spans="1:7" x14ac:dyDescent="0.3">
      <c r="A48">
        <v>44</v>
      </c>
      <c r="C48" s="20">
        <v>76</v>
      </c>
      <c r="D48" s="8">
        <v>8</v>
      </c>
      <c r="E48" s="25">
        <f t="shared" si="0"/>
        <v>174</v>
      </c>
    </row>
    <row r="49" spans="1:5" x14ac:dyDescent="0.3">
      <c r="A49">
        <v>45</v>
      </c>
      <c r="C49" s="20">
        <v>77</v>
      </c>
      <c r="D49" s="8">
        <v>9</v>
      </c>
      <c r="E49" s="25">
        <f t="shared" si="0"/>
        <v>173</v>
      </c>
    </row>
    <row r="50" spans="1:5" x14ac:dyDescent="0.3">
      <c r="A50">
        <v>46</v>
      </c>
      <c r="C50" s="20">
        <v>78</v>
      </c>
      <c r="D50" s="8">
        <v>10</v>
      </c>
      <c r="E50" s="25">
        <f t="shared" si="0"/>
        <v>172</v>
      </c>
    </row>
    <row r="51" spans="1:5" x14ac:dyDescent="0.3">
      <c r="A51">
        <v>47</v>
      </c>
      <c r="C51" s="20">
        <v>79</v>
      </c>
      <c r="D51" s="8">
        <v>11</v>
      </c>
      <c r="E51" s="25">
        <f t="shared" si="0"/>
        <v>171</v>
      </c>
    </row>
    <row r="52" spans="1:5" x14ac:dyDescent="0.3">
      <c r="A52">
        <v>48</v>
      </c>
      <c r="C52" s="20">
        <v>80</v>
      </c>
      <c r="D52" s="8">
        <v>12</v>
      </c>
      <c r="E52" s="25">
        <f t="shared" si="0"/>
        <v>170</v>
      </c>
    </row>
    <row r="53" spans="1:5" x14ac:dyDescent="0.3">
      <c r="A53">
        <v>49</v>
      </c>
      <c r="B53">
        <f>C53-1</f>
        <v>80</v>
      </c>
      <c r="C53" s="19">
        <v>81</v>
      </c>
      <c r="D53" s="8">
        <v>1</v>
      </c>
      <c r="E53" s="25">
        <f t="shared" si="0"/>
        <v>169</v>
      </c>
    </row>
    <row r="54" spans="1:5" x14ac:dyDescent="0.3">
      <c r="A54">
        <v>50</v>
      </c>
      <c r="C54" s="19">
        <v>82</v>
      </c>
      <c r="D54" s="8">
        <v>2</v>
      </c>
      <c r="E54" s="25">
        <f t="shared" si="0"/>
        <v>168</v>
      </c>
    </row>
    <row r="55" spans="1:5" x14ac:dyDescent="0.3">
      <c r="A55">
        <v>51</v>
      </c>
      <c r="C55" s="19">
        <v>83</v>
      </c>
      <c r="D55" s="8">
        <v>3</v>
      </c>
      <c r="E55" s="25">
        <f t="shared" si="0"/>
        <v>167</v>
      </c>
    </row>
    <row r="56" spans="1:5" x14ac:dyDescent="0.3">
      <c r="A56">
        <v>52</v>
      </c>
      <c r="C56" s="19">
        <v>84</v>
      </c>
      <c r="D56" s="8">
        <v>4</v>
      </c>
      <c r="E56" s="25">
        <f t="shared" si="0"/>
        <v>166</v>
      </c>
    </row>
    <row r="57" spans="1:5" x14ac:dyDescent="0.3">
      <c r="A57">
        <v>53</v>
      </c>
      <c r="C57" s="19">
        <v>85</v>
      </c>
      <c r="D57" s="8">
        <v>5</v>
      </c>
      <c r="E57" s="25">
        <f t="shared" si="0"/>
        <v>165</v>
      </c>
    </row>
    <row r="58" spans="1:5" x14ac:dyDescent="0.3">
      <c r="A58">
        <v>54</v>
      </c>
      <c r="C58" s="19">
        <v>86</v>
      </c>
      <c r="D58" s="8">
        <v>6</v>
      </c>
      <c r="E58" s="25">
        <f t="shared" si="0"/>
        <v>164</v>
      </c>
    </row>
    <row r="59" spans="1:5" x14ac:dyDescent="0.3">
      <c r="A59">
        <v>55</v>
      </c>
      <c r="C59" s="19">
        <v>87</v>
      </c>
      <c r="D59" s="8">
        <v>7</v>
      </c>
      <c r="E59" s="25">
        <f t="shared" si="0"/>
        <v>163</v>
      </c>
    </row>
    <row r="60" spans="1:5" x14ac:dyDescent="0.3">
      <c r="A60">
        <v>56</v>
      </c>
      <c r="C60" s="19">
        <v>88</v>
      </c>
      <c r="D60" s="8">
        <v>8</v>
      </c>
      <c r="E60" s="25">
        <f t="shared" si="0"/>
        <v>162</v>
      </c>
    </row>
    <row r="61" spans="1:5" x14ac:dyDescent="0.3">
      <c r="A61">
        <v>57</v>
      </c>
      <c r="C61" s="19">
        <v>89</v>
      </c>
      <c r="D61" s="8">
        <v>9</v>
      </c>
      <c r="E61" s="25">
        <f t="shared" si="0"/>
        <v>161</v>
      </c>
    </row>
    <row r="62" spans="1:5" x14ac:dyDescent="0.3">
      <c r="A62">
        <v>58</v>
      </c>
      <c r="C62" s="19">
        <v>90</v>
      </c>
      <c r="D62" s="8">
        <v>10</v>
      </c>
      <c r="E62" s="25">
        <f t="shared" si="0"/>
        <v>160</v>
      </c>
    </row>
    <row r="63" spans="1:5" x14ac:dyDescent="0.3">
      <c r="A63">
        <v>59</v>
      </c>
      <c r="C63" s="19">
        <v>91</v>
      </c>
      <c r="D63" s="8">
        <v>11</v>
      </c>
      <c r="E63" s="25">
        <f t="shared" si="0"/>
        <v>159</v>
      </c>
    </row>
    <row r="64" spans="1:5" x14ac:dyDescent="0.3">
      <c r="A64">
        <v>60</v>
      </c>
      <c r="C64" s="19">
        <v>92</v>
      </c>
      <c r="D64" s="8">
        <v>12</v>
      </c>
      <c r="E64" s="25">
        <f t="shared" si="0"/>
        <v>158</v>
      </c>
    </row>
    <row r="65" spans="3:7" x14ac:dyDescent="0.3">
      <c r="C65" s="68">
        <v>93</v>
      </c>
      <c r="D65" s="67" t="s">
        <v>63</v>
      </c>
      <c r="E65" s="25">
        <f t="shared" si="0"/>
        <v>157</v>
      </c>
    </row>
    <row r="66" spans="3:7" ht="15" thickBot="1" x14ac:dyDescent="0.35">
      <c r="C66" s="21">
        <v>100</v>
      </c>
      <c r="D66" s="22" t="s">
        <v>1</v>
      </c>
    </row>
    <row r="67" spans="3:7" ht="15" thickBot="1" x14ac:dyDescent="0.35"/>
    <row r="68" spans="3:7" ht="15" thickBot="1" x14ac:dyDescent="0.35">
      <c r="C68" s="37">
        <v>150</v>
      </c>
      <c r="D68" s="38" t="s">
        <v>55</v>
      </c>
      <c r="E68" s="39">
        <v>80</v>
      </c>
      <c r="F68" s="40" t="s">
        <v>4</v>
      </c>
    </row>
    <row r="69" spans="3:7" ht="15" thickBot="1" x14ac:dyDescent="0.35">
      <c r="E69" s="41">
        <v>90</v>
      </c>
      <c r="F69" s="42" t="s">
        <v>56</v>
      </c>
    </row>
    <row r="70" spans="3:7" ht="15" thickBot="1" x14ac:dyDescent="0.35">
      <c r="C70" s="37">
        <v>151</v>
      </c>
      <c r="D70" s="38" t="s">
        <v>80</v>
      </c>
      <c r="E70" s="39">
        <v>80</v>
      </c>
      <c r="F70" s="40" t="s">
        <v>4</v>
      </c>
    </row>
    <row r="71" spans="3:7" ht="15" thickBot="1" x14ac:dyDescent="0.35">
      <c r="E71" s="41">
        <v>90</v>
      </c>
      <c r="F71" s="42" t="s">
        <v>56</v>
      </c>
    </row>
    <row r="72" spans="3:7" ht="15" thickBot="1" x14ac:dyDescent="0.35"/>
    <row r="73" spans="3:7" ht="15" thickBot="1" x14ac:dyDescent="0.35">
      <c r="C73" s="44">
        <v>155</v>
      </c>
      <c r="D73" s="43" t="s">
        <v>60</v>
      </c>
      <c r="E73" s="37" t="s">
        <v>61</v>
      </c>
      <c r="F73" s="54">
        <v>100</v>
      </c>
      <c r="G73" s="49" t="s">
        <v>73</v>
      </c>
    </row>
    <row r="74" spans="3:7" ht="15" thickBot="1" x14ac:dyDescent="0.35">
      <c r="E74"/>
      <c r="F74" s="14">
        <v>0</v>
      </c>
      <c r="G74" s="50" t="s">
        <v>74</v>
      </c>
    </row>
    <row r="75" spans="3:7" ht="15" thickBot="1" x14ac:dyDescent="0.35">
      <c r="D75" s="25"/>
    </row>
    <row r="76" spans="3:7" x14ac:dyDescent="0.3">
      <c r="C76" s="39">
        <v>160</v>
      </c>
      <c r="D76" s="51" t="s">
        <v>57</v>
      </c>
      <c r="E76" s="25" t="s">
        <v>75</v>
      </c>
    </row>
    <row r="77" spans="3:7" x14ac:dyDescent="0.3">
      <c r="C77" s="19">
        <v>165</v>
      </c>
      <c r="D77" s="52" t="s">
        <v>58</v>
      </c>
      <c r="E77" s="25" t="s">
        <v>117</v>
      </c>
    </row>
    <row r="78" spans="3:7" x14ac:dyDescent="0.3">
      <c r="C78" s="19">
        <v>163</v>
      </c>
      <c r="D78" s="53" t="s">
        <v>76</v>
      </c>
      <c r="E78" s="25" t="s">
        <v>78</v>
      </c>
      <c r="F78" t="s">
        <v>79</v>
      </c>
    </row>
    <row r="79" spans="3:7" ht="15" thickBot="1" x14ac:dyDescent="0.35">
      <c r="C79" s="76">
        <v>164</v>
      </c>
      <c r="D79" s="22" t="s">
        <v>70</v>
      </c>
      <c r="E79" s="77" t="s">
        <v>77</v>
      </c>
    </row>
  </sheetData>
  <mergeCells count="7">
    <mergeCell ref="C2:D2"/>
    <mergeCell ref="F2:G2"/>
    <mergeCell ref="J2:O2"/>
    <mergeCell ref="K3:L3"/>
    <mergeCell ref="J3:J4"/>
    <mergeCell ref="M3:N3"/>
    <mergeCell ref="O3:O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63"/>
  <sheetViews>
    <sheetView workbookViewId="0">
      <selection activeCell="M23" sqref="M23"/>
    </sheetView>
  </sheetViews>
  <sheetFormatPr baseColWidth="10" defaultRowHeight="14.4" x14ac:dyDescent="0.3"/>
  <cols>
    <col min="2" max="2" width="9.88671875" bestFit="1" customWidth="1"/>
    <col min="3" max="3" width="9.5546875" bestFit="1" customWidth="1"/>
    <col min="4" max="4" width="10.44140625" bestFit="1" customWidth="1"/>
    <col min="5" max="5" width="40" customWidth="1"/>
    <col min="6" max="6" width="3.109375" bestFit="1" customWidth="1"/>
    <col min="7" max="7" width="39.44140625" customWidth="1"/>
    <col min="8" max="8" width="11.44140625" style="25"/>
  </cols>
  <sheetData>
    <row r="1" spans="2:11" ht="15" thickBot="1" x14ac:dyDescent="0.35"/>
    <row r="2" spans="2:11" ht="16.2" thickBot="1" x14ac:dyDescent="0.35">
      <c r="B2" s="141" t="s">
        <v>239</v>
      </c>
      <c r="C2" s="141" t="s">
        <v>244</v>
      </c>
      <c r="D2" s="69" t="s">
        <v>243</v>
      </c>
      <c r="E2" s="69" t="s">
        <v>8</v>
      </c>
      <c r="G2" s="73" t="s">
        <v>8</v>
      </c>
      <c r="J2" s="167" t="s">
        <v>247</v>
      </c>
      <c r="K2" s="167" t="s">
        <v>248</v>
      </c>
    </row>
    <row r="3" spans="2:11" ht="15.6" x14ac:dyDescent="0.3">
      <c r="B3" s="144">
        <v>1</v>
      </c>
      <c r="C3" s="158">
        <v>33</v>
      </c>
      <c r="D3" s="134">
        <v>1</v>
      </c>
      <c r="E3" s="75"/>
      <c r="F3" s="154"/>
      <c r="G3" s="78"/>
      <c r="J3" s="30">
        <v>176</v>
      </c>
      <c r="K3" s="30" t="s">
        <v>249</v>
      </c>
    </row>
    <row r="4" spans="2:11" ht="15.6" x14ac:dyDescent="0.3">
      <c r="B4" s="145">
        <v>2</v>
      </c>
      <c r="C4" s="143">
        <v>34</v>
      </c>
      <c r="D4" s="135">
        <v>2</v>
      </c>
      <c r="E4" s="70" t="s">
        <v>91</v>
      </c>
      <c r="F4" s="154"/>
      <c r="G4" s="70" t="s">
        <v>126</v>
      </c>
      <c r="J4" s="30">
        <v>71</v>
      </c>
      <c r="K4" s="30" t="s">
        <v>251</v>
      </c>
    </row>
    <row r="5" spans="2:11" ht="15.6" x14ac:dyDescent="0.3">
      <c r="B5" s="145">
        <v>3</v>
      </c>
      <c r="C5" s="143">
        <v>35</v>
      </c>
      <c r="D5" s="135">
        <v>3</v>
      </c>
      <c r="E5" s="70" t="s">
        <v>92</v>
      </c>
      <c r="F5" s="154"/>
      <c r="G5" s="70" t="s">
        <v>127</v>
      </c>
      <c r="J5" s="30">
        <v>128</v>
      </c>
      <c r="K5" s="30" t="s">
        <v>250</v>
      </c>
    </row>
    <row r="6" spans="2:11" ht="15.6" x14ac:dyDescent="0.3">
      <c r="B6" s="145">
        <v>4</v>
      </c>
      <c r="C6" s="143">
        <v>36</v>
      </c>
      <c r="D6" s="135">
        <v>4</v>
      </c>
      <c r="E6" s="70" t="s">
        <v>113</v>
      </c>
      <c r="F6" s="154"/>
      <c r="G6" s="70" t="s">
        <v>128</v>
      </c>
      <c r="J6" s="30">
        <v>76</v>
      </c>
      <c r="K6" s="30" t="s">
        <v>264</v>
      </c>
    </row>
    <row r="7" spans="2:11" ht="15.6" x14ac:dyDescent="0.3">
      <c r="B7" s="145">
        <v>5</v>
      </c>
      <c r="C7" s="159">
        <v>37</v>
      </c>
      <c r="D7" s="135">
        <v>5</v>
      </c>
      <c r="E7" s="70"/>
      <c r="F7" s="154"/>
      <c r="G7" s="12"/>
      <c r="J7" s="1">
        <v>77</v>
      </c>
      <c r="K7" s="30" t="s">
        <v>245</v>
      </c>
    </row>
    <row r="8" spans="2:11" ht="15.6" x14ac:dyDescent="0.3">
      <c r="B8" s="145">
        <v>6</v>
      </c>
      <c r="C8" s="143">
        <v>38</v>
      </c>
      <c r="D8" s="135">
        <v>6</v>
      </c>
      <c r="E8" s="70" t="s">
        <v>93</v>
      </c>
      <c r="F8" s="154"/>
      <c r="G8" s="70" t="s">
        <v>129</v>
      </c>
      <c r="J8" s="30">
        <v>130</v>
      </c>
      <c r="K8" s="30" t="s">
        <v>320</v>
      </c>
    </row>
    <row r="9" spans="2:11" ht="15.6" x14ac:dyDescent="0.3">
      <c r="B9" s="145">
        <v>7</v>
      </c>
      <c r="C9" s="143">
        <v>39</v>
      </c>
      <c r="D9" s="135">
        <v>7</v>
      </c>
      <c r="E9" s="70" t="s">
        <v>94</v>
      </c>
      <c r="F9" s="154"/>
      <c r="G9" s="70" t="s">
        <v>130</v>
      </c>
      <c r="J9" s="30">
        <v>146</v>
      </c>
      <c r="K9" s="30" t="s">
        <v>349</v>
      </c>
    </row>
    <row r="10" spans="2:11" ht="15.6" x14ac:dyDescent="0.3">
      <c r="B10" s="145">
        <v>8</v>
      </c>
      <c r="C10" s="143">
        <v>40</v>
      </c>
      <c r="D10" s="135">
        <v>8</v>
      </c>
      <c r="E10" s="70" t="s">
        <v>95</v>
      </c>
      <c r="F10" s="154"/>
      <c r="G10" s="70" t="s">
        <v>131</v>
      </c>
      <c r="J10" s="225">
        <v>178</v>
      </c>
      <c r="K10" s="225" t="s">
        <v>463</v>
      </c>
    </row>
    <row r="11" spans="2:11" ht="15.6" x14ac:dyDescent="0.3">
      <c r="B11" s="145">
        <v>9</v>
      </c>
      <c r="C11" s="143">
        <v>41</v>
      </c>
      <c r="D11" s="135">
        <v>9</v>
      </c>
      <c r="E11" s="70" t="s">
        <v>96</v>
      </c>
      <c r="F11" s="154"/>
      <c r="G11" s="70" t="s">
        <v>132</v>
      </c>
    </row>
    <row r="12" spans="2:11" ht="15.6" x14ac:dyDescent="0.3">
      <c r="B12" s="145">
        <v>10</v>
      </c>
      <c r="C12" s="143">
        <v>42</v>
      </c>
      <c r="D12" s="135">
        <v>10</v>
      </c>
      <c r="E12" s="70" t="s">
        <v>97</v>
      </c>
      <c r="F12" s="154"/>
      <c r="G12" s="70" t="s">
        <v>133</v>
      </c>
    </row>
    <row r="13" spans="2:11" ht="15.6" x14ac:dyDescent="0.3">
      <c r="B13" s="145">
        <v>11</v>
      </c>
      <c r="C13" s="143">
        <v>43</v>
      </c>
      <c r="D13" s="135">
        <v>11</v>
      </c>
      <c r="E13" s="70" t="s">
        <v>98</v>
      </c>
      <c r="F13" s="154"/>
      <c r="G13" s="82" t="s">
        <v>118</v>
      </c>
    </row>
    <row r="14" spans="2:11" ht="16.2" thickBot="1" x14ac:dyDescent="0.35">
      <c r="B14" s="145">
        <v>12</v>
      </c>
      <c r="C14" s="160">
        <v>44</v>
      </c>
      <c r="D14" s="136">
        <v>12</v>
      </c>
      <c r="E14" s="71" t="s">
        <v>99</v>
      </c>
      <c r="F14" s="154"/>
      <c r="G14" s="71" t="s">
        <v>134</v>
      </c>
    </row>
    <row r="15" spans="2:11" ht="15.6" x14ac:dyDescent="0.3">
      <c r="B15" s="145">
        <v>13</v>
      </c>
      <c r="C15" s="142">
        <v>45</v>
      </c>
      <c r="D15" s="137">
        <v>13</v>
      </c>
      <c r="E15" s="72" t="s">
        <v>149</v>
      </c>
      <c r="F15" s="154"/>
      <c r="G15" s="72" t="s">
        <v>148</v>
      </c>
    </row>
    <row r="16" spans="2:11" ht="15.6" x14ac:dyDescent="0.3">
      <c r="B16" s="145">
        <v>14</v>
      </c>
      <c r="C16" s="143">
        <v>46</v>
      </c>
      <c r="D16" s="138">
        <v>14</v>
      </c>
      <c r="E16" s="70" t="s">
        <v>151</v>
      </c>
      <c r="F16" s="154"/>
      <c r="G16" s="70" t="s">
        <v>150</v>
      </c>
    </row>
    <row r="17" spans="2:8" ht="15.6" x14ac:dyDescent="0.3">
      <c r="B17" s="145">
        <v>15</v>
      </c>
      <c r="C17" s="143">
        <v>47</v>
      </c>
      <c r="D17" s="138">
        <v>15</v>
      </c>
      <c r="E17" s="70" t="s">
        <v>115</v>
      </c>
      <c r="F17" s="154"/>
      <c r="G17" s="70" t="s">
        <v>135</v>
      </c>
    </row>
    <row r="18" spans="2:8" ht="15.6" x14ac:dyDescent="0.3">
      <c r="B18" s="145">
        <v>16</v>
      </c>
      <c r="C18" s="143">
        <v>48</v>
      </c>
      <c r="D18" s="138">
        <v>16</v>
      </c>
      <c r="E18" s="70" t="s">
        <v>100</v>
      </c>
      <c r="F18" s="154"/>
      <c r="G18" s="70" t="s">
        <v>136</v>
      </c>
    </row>
    <row r="19" spans="2:8" ht="15.6" x14ac:dyDescent="0.3">
      <c r="B19" s="145">
        <v>17</v>
      </c>
      <c r="C19" s="143">
        <v>49</v>
      </c>
      <c r="D19" s="138">
        <v>17</v>
      </c>
      <c r="E19" s="70" t="s">
        <v>101</v>
      </c>
      <c r="F19" s="154"/>
      <c r="G19" s="70" t="s">
        <v>137</v>
      </c>
    </row>
    <row r="20" spans="2:8" ht="15.6" x14ac:dyDescent="0.3">
      <c r="B20" s="145">
        <v>18</v>
      </c>
      <c r="C20" s="143">
        <v>50</v>
      </c>
      <c r="D20" s="138">
        <v>18</v>
      </c>
      <c r="E20" s="162" t="s">
        <v>430</v>
      </c>
      <c r="F20" s="154"/>
      <c r="G20" s="12"/>
    </row>
    <row r="21" spans="2:8" ht="15.6" x14ac:dyDescent="0.3">
      <c r="B21" s="145">
        <v>19</v>
      </c>
      <c r="C21" s="143">
        <v>51</v>
      </c>
      <c r="D21" s="138">
        <v>19</v>
      </c>
      <c r="E21" s="70" t="s">
        <v>102</v>
      </c>
      <c r="F21" s="154"/>
      <c r="G21" s="70" t="s">
        <v>138</v>
      </c>
    </row>
    <row r="22" spans="2:8" ht="15.6" x14ac:dyDescent="0.3">
      <c r="B22" s="145">
        <v>20</v>
      </c>
      <c r="C22" s="143">
        <v>52</v>
      </c>
      <c r="D22" s="138">
        <v>20</v>
      </c>
      <c r="E22" s="70" t="s">
        <v>114</v>
      </c>
      <c r="F22" s="154"/>
      <c r="G22" s="70" t="s">
        <v>139</v>
      </c>
    </row>
    <row r="23" spans="2:8" ht="15.6" x14ac:dyDescent="0.3">
      <c r="B23" s="145">
        <v>21</v>
      </c>
      <c r="C23" s="143">
        <v>53</v>
      </c>
      <c r="D23" s="138">
        <v>21</v>
      </c>
      <c r="E23" s="70" t="s">
        <v>103</v>
      </c>
      <c r="F23" s="154"/>
      <c r="G23" s="70" t="s">
        <v>140</v>
      </c>
    </row>
    <row r="24" spans="2:8" ht="15.6" x14ac:dyDescent="0.3">
      <c r="B24" s="145">
        <v>22</v>
      </c>
      <c r="C24" s="159">
        <v>54</v>
      </c>
      <c r="D24" s="138">
        <v>22</v>
      </c>
      <c r="E24" s="70"/>
      <c r="F24" s="154"/>
      <c r="G24" s="12"/>
    </row>
    <row r="25" spans="2:8" ht="15.6" x14ac:dyDescent="0.3">
      <c r="B25" s="145">
        <v>23</v>
      </c>
      <c r="C25" s="159">
        <v>55</v>
      </c>
      <c r="D25" s="138">
        <v>23</v>
      </c>
      <c r="E25" s="70"/>
      <c r="F25" s="154"/>
      <c r="G25" s="12"/>
    </row>
    <row r="26" spans="2:8" ht="16.2" thickBot="1" x14ac:dyDescent="0.35">
      <c r="B26" s="161">
        <v>24</v>
      </c>
      <c r="C26" s="168">
        <v>56</v>
      </c>
      <c r="D26" s="139">
        <v>24</v>
      </c>
      <c r="E26" s="74" t="s">
        <v>211</v>
      </c>
      <c r="F26" s="154"/>
      <c r="G26" s="80" t="s">
        <v>265</v>
      </c>
    </row>
    <row r="27" spans="2:8" ht="15.6" x14ac:dyDescent="0.3">
      <c r="B27" s="148">
        <v>1</v>
      </c>
      <c r="C27" s="169">
        <v>57</v>
      </c>
      <c r="D27" s="134">
        <v>25</v>
      </c>
      <c r="E27" s="75" t="s">
        <v>105</v>
      </c>
      <c r="F27" s="154"/>
      <c r="G27" s="78"/>
    </row>
    <row r="28" spans="2:8" ht="15.6" x14ac:dyDescent="0.3">
      <c r="B28" s="149">
        <v>2</v>
      </c>
      <c r="C28" s="143">
        <v>58</v>
      </c>
      <c r="D28" s="135">
        <v>26</v>
      </c>
      <c r="E28" s="70" t="s">
        <v>104</v>
      </c>
      <c r="F28" s="154" t="s">
        <v>241</v>
      </c>
      <c r="G28" s="70" t="s">
        <v>141</v>
      </c>
      <c r="H28" s="25" t="s">
        <v>241</v>
      </c>
    </row>
    <row r="29" spans="2:8" ht="15.6" x14ac:dyDescent="0.3">
      <c r="B29" s="149">
        <v>3</v>
      </c>
      <c r="C29" s="143">
        <v>59</v>
      </c>
      <c r="D29" s="135">
        <v>27</v>
      </c>
      <c r="E29" s="70"/>
      <c r="F29" s="154"/>
      <c r="G29" s="81" t="s">
        <v>245</v>
      </c>
      <c r="H29" s="25" t="s">
        <v>241</v>
      </c>
    </row>
    <row r="30" spans="2:8" ht="15.6" x14ac:dyDescent="0.3">
      <c r="B30" s="149">
        <v>4</v>
      </c>
      <c r="C30" s="143">
        <v>60</v>
      </c>
      <c r="D30" s="135">
        <v>28</v>
      </c>
      <c r="E30" s="70"/>
      <c r="F30" s="154"/>
      <c r="G30" s="81" t="s">
        <v>119</v>
      </c>
      <c r="H30" s="25" t="s">
        <v>241</v>
      </c>
    </row>
    <row r="31" spans="2:8" ht="15.6" x14ac:dyDescent="0.3">
      <c r="B31" s="149">
        <v>5</v>
      </c>
      <c r="C31" s="143">
        <v>61</v>
      </c>
      <c r="D31" s="135">
        <v>29</v>
      </c>
      <c r="E31" s="70"/>
      <c r="F31" s="154"/>
      <c r="G31" s="81" t="s">
        <v>120</v>
      </c>
      <c r="H31" s="25" t="s">
        <v>241</v>
      </c>
    </row>
    <row r="32" spans="2:8" ht="15.6" x14ac:dyDescent="0.3">
      <c r="B32" s="149">
        <v>6</v>
      </c>
      <c r="C32" s="143">
        <v>62</v>
      </c>
      <c r="D32" s="135">
        <v>30</v>
      </c>
      <c r="E32" s="70"/>
      <c r="F32" s="154"/>
      <c r="G32" s="81" t="s">
        <v>121</v>
      </c>
      <c r="H32" s="25" t="s">
        <v>241</v>
      </c>
    </row>
    <row r="33" spans="2:11" ht="15.6" x14ac:dyDescent="0.3">
      <c r="B33" s="149">
        <v>7</v>
      </c>
      <c r="C33" s="143">
        <v>63</v>
      </c>
      <c r="D33" s="135">
        <v>31</v>
      </c>
      <c r="E33" s="70" t="s">
        <v>106</v>
      </c>
      <c r="F33" s="154" t="s">
        <v>241</v>
      </c>
      <c r="G33" s="70" t="s">
        <v>142</v>
      </c>
      <c r="H33" s="155" t="s">
        <v>241</v>
      </c>
    </row>
    <row r="34" spans="2:11" ht="15.6" x14ac:dyDescent="0.3">
      <c r="B34" s="149">
        <v>8</v>
      </c>
      <c r="C34" s="143">
        <v>64</v>
      </c>
      <c r="D34" s="135">
        <v>32</v>
      </c>
      <c r="E34" s="70" t="s">
        <v>107</v>
      </c>
      <c r="F34" s="154" t="s">
        <v>241</v>
      </c>
      <c r="G34" s="70" t="s">
        <v>143</v>
      </c>
      <c r="H34" s="155" t="s">
        <v>241</v>
      </c>
    </row>
    <row r="35" spans="2:11" ht="15.6" x14ac:dyDescent="0.3">
      <c r="B35" s="149">
        <v>9</v>
      </c>
      <c r="C35" s="163">
        <v>65</v>
      </c>
      <c r="D35" s="135">
        <v>33</v>
      </c>
      <c r="E35" s="70" t="s">
        <v>108</v>
      </c>
      <c r="F35" s="154" t="s">
        <v>241</v>
      </c>
      <c r="G35" s="70" t="s">
        <v>144</v>
      </c>
      <c r="H35" s="25" t="s">
        <v>241</v>
      </c>
    </row>
    <row r="36" spans="2:11" ht="15.6" x14ac:dyDescent="0.3">
      <c r="B36" s="149">
        <v>10</v>
      </c>
      <c r="C36" s="143">
        <v>66</v>
      </c>
      <c r="D36" s="135">
        <v>34</v>
      </c>
      <c r="E36" s="70"/>
      <c r="F36" s="154"/>
      <c r="G36" s="70"/>
    </row>
    <row r="37" spans="2:11" ht="15.6" x14ac:dyDescent="0.3">
      <c r="B37" s="149">
        <v>11</v>
      </c>
      <c r="C37" s="164">
        <v>67</v>
      </c>
      <c r="D37" s="135">
        <v>35</v>
      </c>
      <c r="E37" s="162"/>
      <c r="F37" s="154"/>
      <c r="G37" s="12"/>
    </row>
    <row r="38" spans="2:11" ht="16.2" thickBot="1" x14ac:dyDescent="0.35">
      <c r="B38" s="149">
        <v>12</v>
      </c>
      <c r="C38" s="160">
        <v>68</v>
      </c>
      <c r="D38" s="136">
        <v>36</v>
      </c>
      <c r="E38" s="71" t="s">
        <v>109</v>
      </c>
      <c r="F38" s="154" t="s">
        <v>241</v>
      </c>
      <c r="G38" s="71" t="s">
        <v>145</v>
      </c>
      <c r="H38" s="155" t="s">
        <v>241</v>
      </c>
    </row>
    <row r="39" spans="2:11" ht="15.6" x14ac:dyDescent="0.3">
      <c r="B39" s="149">
        <v>13</v>
      </c>
      <c r="C39" s="158">
        <v>69</v>
      </c>
      <c r="D39" s="137">
        <v>37</v>
      </c>
      <c r="E39" s="72"/>
      <c r="F39" s="154"/>
      <c r="G39" s="79"/>
    </row>
    <row r="40" spans="2:11" ht="15.6" x14ac:dyDescent="0.3">
      <c r="B40" s="149">
        <v>14</v>
      </c>
      <c r="C40" s="143">
        <v>70</v>
      </c>
      <c r="D40" s="138">
        <v>38</v>
      </c>
      <c r="E40" s="70" t="s">
        <v>212</v>
      </c>
      <c r="F40" s="154" t="s">
        <v>241</v>
      </c>
      <c r="G40" s="12" t="s">
        <v>213</v>
      </c>
      <c r="H40" s="25" t="s">
        <v>241</v>
      </c>
    </row>
    <row r="41" spans="2:11" ht="15.6" x14ac:dyDescent="0.3">
      <c r="B41" s="149">
        <v>15</v>
      </c>
      <c r="C41" s="159">
        <v>71</v>
      </c>
      <c r="D41" s="138">
        <v>39</v>
      </c>
      <c r="E41" s="70"/>
      <c r="F41" s="154"/>
      <c r="G41" s="12"/>
    </row>
    <row r="42" spans="2:11" ht="15.6" x14ac:dyDescent="0.3">
      <c r="B42" s="149">
        <v>16</v>
      </c>
      <c r="C42" s="143">
        <v>72</v>
      </c>
      <c r="D42" s="138">
        <v>40</v>
      </c>
      <c r="E42" s="70" t="s">
        <v>242</v>
      </c>
      <c r="F42" s="154"/>
      <c r="G42" s="12"/>
    </row>
    <row r="43" spans="2:11" ht="15.6" x14ac:dyDescent="0.3">
      <c r="B43" s="149">
        <v>17</v>
      </c>
      <c r="C43" s="143">
        <v>73</v>
      </c>
      <c r="D43" s="138">
        <v>41</v>
      </c>
      <c r="E43" s="70"/>
      <c r="F43" s="154"/>
      <c r="G43" s="81" t="s">
        <v>123</v>
      </c>
      <c r="H43" s="25" t="s">
        <v>241</v>
      </c>
      <c r="J43" s="167" t="s">
        <v>247</v>
      </c>
      <c r="K43" s="167" t="s">
        <v>248</v>
      </c>
    </row>
    <row r="44" spans="2:11" ht="15.6" x14ac:dyDescent="0.3">
      <c r="B44" s="149">
        <v>18</v>
      </c>
      <c r="C44" s="159">
        <v>74</v>
      </c>
      <c r="D44" s="138">
        <v>42</v>
      </c>
      <c r="E44" s="70"/>
      <c r="F44" s="154"/>
      <c r="G44" s="81" t="s">
        <v>122</v>
      </c>
      <c r="H44" s="25" t="s">
        <v>241</v>
      </c>
      <c r="J44" s="30">
        <v>62</v>
      </c>
      <c r="K44" s="30" t="s">
        <v>249</v>
      </c>
    </row>
    <row r="45" spans="2:11" ht="15.6" x14ac:dyDescent="0.3">
      <c r="B45" s="149">
        <v>19</v>
      </c>
      <c r="C45" s="143">
        <v>75</v>
      </c>
      <c r="D45" s="138">
        <v>43</v>
      </c>
      <c r="E45" s="70" t="s">
        <v>110</v>
      </c>
      <c r="F45" s="154"/>
      <c r="G45" s="70" t="s">
        <v>146</v>
      </c>
      <c r="H45" s="25" t="s">
        <v>241</v>
      </c>
      <c r="J45" s="30">
        <v>71</v>
      </c>
      <c r="K45" s="30" t="s">
        <v>251</v>
      </c>
    </row>
    <row r="46" spans="2:11" ht="15.6" x14ac:dyDescent="0.3">
      <c r="B46" s="149">
        <v>20</v>
      </c>
      <c r="C46" s="143">
        <v>76</v>
      </c>
      <c r="D46" s="138">
        <v>44</v>
      </c>
      <c r="E46" s="70" t="s">
        <v>111</v>
      </c>
      <c r="F46" s="154" t="s">
        <v>241</v>
      </c>
      <c r="G46" s="70" t="s">
        <v>147</v>
      </c>
      <c r="H46" s="155" t="s">
        <v>241</v>
      </c>
      <c r="J46" s="30">
        <v>128</v>
      </c>
      <c r="K46" s="30" t="s">
        <v>250</v>
      </c>
    </row>
    <row r="47" spans="2:11" ht="15.6" x14ac:dyDescent="0.3">
      <c r="B47" s="149">
        <v>21</v>
      </c>
      <c r="C47" s="143">
        <v>77</v>
      </c>
      <c r="D47" s="138">
        <v>45</v>
      </c>
      <c r="E47" s="70" t="s">
        <v>153</v>
      </c>
      <c r="F47" s="154" t="s">
        <v>241</v>
      </c>
      <c r="G47" s="70" t="s">
        <v>152</v>
      </c>
      <c r="H47" s="155" t="s">
        <v>241</v>
      </c>
      <c r="J47" s="30">
        <v>76</v>
      </c>
      <c r="K47" s="30" t="s">
        <v>264</v>
      </c>
    </row>
    <row r="48" spans="2:11" ht="15.6" x14ac:dyDescent="0.3">
      <c r="B48" s="149">
        <v>22</v>
      </c>
      <c r="C48" s="159">
        <v>78</v>
      </c>
      <c r="D48" s="138">
        <v>46</v>
      </c>
      <c r="E48" s="70"/>
      <c r="F48" s="154"/>
      <c r="G48" s="12"/>
      <c r="J48" s="1">
        <v>77</v>
      </c>
      <c r="K48" s="30" t="s">
        <v>245</v>
      </c>
    </row>
    <row r="49" spans="2:11" ht="15.6" x14ac:dyDescent="0.3">
      <c r="B49" s="149">
        <v>23</v>
      </c>
      <c r="C49" s="159">
        <v>79</v>
      </c>
      <c r="D49" s="138">
        <v>47</v>
      </c>
      <c r="E49" s="70"/>
      <c r="F49" s="154"/>
      <c r="G49" s="12"/>
      <c r="J49" s="30">
        <v>130</v>
      </c>
      <c r="K49" s="30" t="s">
        <v>320</v>
      </c>
    </row>
    <row r="50" spans="2:11" ht="16.2" thickBot="1" x14ac:dyDescent="0.35">
      <c r="B50" s="150">
        <v>24</v>
      </c>
      <c r="C50" s="165">
        <v>80</v>
      </c>
      <c r="D50" s="139">
        <v>48</v>
      </c>
      <c r="E50" s="74"/>
      <c r="F50" s="154"/>
      <c r="G50" s="166" t="s">
        <v>246</v>
      </c>
      <c r="H50" s="25" t="s">
        <v>241</v>
      </c>
      <c r="J50" s="30">
        <v>146</v>
      </c>
      <c r="K50" s="30" t="s">
        <v>349</v>
      </c>
    </row>
    <row r="51" spans="2:11" ht="15.6" x14ac:dyDescent="0.3">
      <c r="B51" s="146">
        <v>1</v>
      </c>
      <c r="C51" s="157">
        <v>81</v>
      </c>
      <c r="D51" s="134">
        <v>49</v>
      </c>
      <c r="E51" s="75" t="s">
        <v>252</v>
      </c>
      <c r="F51" s="154"/>
      <c r="G51" s="78" t="s">
        <v>253</v>
      </c>
    </row>
    <row r="52" spans="2:11" ht="15.6" x14ac:dyDescent="0.3">
      <c r="B52" s="147">
        <v>2</v>
      </c>
      <c r="C52" s="12">
        <v>82</v>
      </c>
      <c r="D52" s="135">
        <v>50</v>
      </c>
      <c r="E52" s="70" t="s">
        <v>254</v>
      </c>
      <c r="F52" s="154"/>
      <c r="G52" s="70" t="s">
        <v>260</v>
      </c>
    </row>
    <row r="53" spans="2:11" ht="15.6" x14ac:dyDescent="0.3">
      <c r="B53" s="147">
        <v>3</v>
      </c>
      <c r="C53" s="12">
        <v>83</v>
      </c>
      <c r="D53" s="135">
        <v>51</v>
      </c>
      <c r="E53" s="70" t="s">
        <v>255</v>
      </c>
      <c r="F53" s="154"/>
      <c r="G53" s="70" t="s">
        <v>261</v>
      </c>
    </row>
    <row r="54" spans="2:11" ht="15.6" x14ac:dyDescent="0.3">
      <c r="B54" s="147">
        <v>4</v>
      </c>
      <c r="C54" s="12">
        <v>84</v>
      </c>
      <c r="D54" s="135">
        <v>52</v>
      </c>
      <c r="E54" s="70" t="s">
        <v>256</v>
      </c>
      <c r="F54" s="154"/>
      <c r="G54" s="70" t="s">
        <v>263</v>
      </c>
    </row>
    <row r="55" spans="2:11" ht="15.6" x14ac:dyDescent="0.3">
      <c r="B55" s="147">
        <v>5</v>
      </c>
      <c r="C55" s="12">
        <v>85</v>
      </c>
      <c r="D55" s="135">
        <v>53</v>
      </c>
      <c r="E55" s="70" t="s">
        <v>257</v>
      </c>
      <c r="F55" s="154"/>
      <c r="G55" s="70" t="s">
        <v>262</v>
      </c>
    </row>
    <row r="56" spans="2:11" ht="15.6" x14ac:dyDescent="0.3">
      <c r="B56" s="147">
        <v>6</v>
      </c>
      <c r="C56" s="156">
        <v>86</v>
      </c>
      <c r="D56" s="135">
        <v>54</v>
      </c>
      <c r="E56" s="70" t="s">
        <v>258</v>
      </c>
      <c r="F56" s="154"/>
      <c r="G56" s="12"/>
    </row>
    <row r="57" spans="2:11" ht="15.6" x14ac:dyDescent="0.3">
      <c r="B57" s="147">
        <v>7</v>
      </c>
      <c r="C57" s="156">
        <v>87</v>
      </c>
      <c r="D57" s="135">
        <v>55</v>
      </c>
      <c r="E57" s="70"/>
      <c r="F57" s="154"/>
      <c r="G57" s="12"/>
    </row>
    <row r="58" spans="2:11" ht="15.6" x14ac:dyDescent="0.3">
      <c r="B58" s="147">
        <v>8</v>
      </c>
      <c r="C58" s="12">
        <v>88</v>
      </c>
      <c r="D58" s="135">
        <v>56</v>
      </c>
      <c r="E58" s="70" t="s">
        <v>259</v>
      </c>
      <c r="F58" s="154"/>
      <c r="G58" s="70"/>
    </row>
    <row r="59" spans="2:11" ht="15.6" x14ac:dyDescent="0.3">
      <c r="B59" s="147">
        <v>9</v>
      </c>
      <c r="C59" s="156">
        <v>89</v>
      </c>
      <c r="D59" s="135">
        <v>57</v>
      </c>
      <c r="E59" s="70"/>
      <c r="F59" s="154"/>
      <c r="G59" s="12"/>
    </row>
    <row r="60" spans="2:11" ht="15.6" x14ac:dyDescent="0.3">
      <c r="B60" s="147">
        <v>10</v>
      </c>
      <c r="C60" s="156">
        <v>90</v>
      </c>
      <c r="D60" s="135">
        <v>58</v>
      </c>
      <c r="E60" s="70"/>
      <c r="F60" s="154"/>
      <c r="G60" s="12"/>
    </row>
    <row r="61" spans="2:11" ht="15.6" x14ac:dyDescent="0.3">
      <c r="B61" s="147">
        <v>11</v>
      </c>
      <c r="C61" s="12">
        <v>91</v>
      </c>
      <c r="D61" s="135">
        <v>59</v>
      </c>
      <c r="E61" s="70"/>
      <c r="F61" s="154"/>
      <c r="G61" s="81" t="s">
        <v>124</v>
      </c>
    </row>
    <row r="62" spans="2:11" ht="16.2" thickBot="1" x14ac:dyDescent="0.35">
      <c r="B62" s="153">
        <v>12</v>
      </c>
      <c r="C62" s="14">
        <v>92</v>
      </c>
      <c r="D62" s="136">
        <v>60</v>
      </c>
      <c r="E62" s="71"/>
      <c r="F62" s="154"/>
      <c r="G62" s="83" t="s">
        <v>125</v>
      </c>
    </row>
    <row r="63" spans="2:11" ht="16.2" thickBot="1" x14ac:dyDescent="0.35">
      <c r="B63" s="151">
        <v>1</v>
      </c>
      <c r="C63" s="152" t="s">
        <v>240</v>
      </c>
      <c r="D63" s="140">
        <v>61</v>
      </c>
      <c r="E63" s="84" t="s">
        <v>112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AF8B-2E62-4DF1-9548-A1621FB537F6}">
  <dimension ref="A1:H231"/>
  <sheetViews>
    <sheetView topLeftCell="A203" workbookViewId="0">
      <selection activeCell="H228" sqref="H228"/>
    </sheetView>
  </sheetViews>
  <sheetFormatPr baseColWidth="10" defaultColWidth="9.109375" defaultRowHeight="14.4" x14ac:dyDescent="0.3"/>
  <cols>
    <col min="2" max="2" width="9.5546875" bestFit="1" customWidth="1"/>
    <col min="3" max="3" width="16.21875" bestFit="1" customWidth="1"/>
    <col min="4" max="4" width="14.88671875" bestFit="1" customWidth="1"/>
    <col min="5" max="5" width="22.44140625" bestFit="1" customWidth="1"/>
    <col min="6" max="6" width="46.44140625" bestFit="1" customWidth="1"/>
    <col min="7" max="7" width="15.33203125" bestFit="1" customWidth="1"/>
    <col min="8" max="8" width="37.109375" bestFit="1" customWidth="1"/>
  </cols>
  <sheetData>
    <row r="1" spans="1:8" s="173" customFormat="1" ht="18.600000000000001" thickBot="1" x14ac:dyDescent="0.4">
      <c r="A1" s="170" t="s">
        <v>266</v>
      </c>
      <c r="B1" s="171" t="s">
        <v>267</v>
      </c>
      <c r="C1" s="171" t="s">
        <v>268</v>
      </c>
      <c r="D1" s="171" t="s">
        <v>269</v>
      </c>
      <c r="E1" s="171" t="s">
        <v>270</v>
      </c>
      <c r="F1" s="171" t="s">
        <v>8</v>
      </c>
      <c r="G1" s="171" t="s">
        <v>271</v>
      </c>
      <c r="H1" s="172" t="s">
        <v>272</v>
      </c>
    </row>
    <row r="2" spans="1:8" x14ac:dyDescent="0.3">
      <c r="A2" s="174" t="s">
        <v>53</v>
      </c>
      <c r="B2" s="175" t="s">
        <v>249</v>
      </c>
      <c r="C2" s="175" t="s">
        <v>273</v>
      </c>
      <c r="D2" s="176" t="s">
        <v>274</v>
      </c>
      <c r="E2" s="175" t="s">
        <v>275</v>
      </c>
      <c r="F2" s="177" t="s">
        <v>276</v>
      </c>
      <c r="G2" s="175" t="s">
        <v>277</v>
      </c>
      <c r="H2" s="178" t="str">
        <f>CONCATENATE(A2,"/",B2,"/",C2,"/",D2)</f>
        <v>Casandra/Cuartos/LuzEstado/01</v>
      </c>
    </row>
    <row r="3" spans="1:8" x14ac:dyDescent="0.3">
      <c r="A3" s="179" t="s">
        <v>53</v>
      </c>
      <c r="B3" s="29" t="s">
        <v>249</v>
      </c>
      <c r="C3" s="29" t="s">
        <v>273</v>
      </c>
      <c r="D3" s="180" t="s">
        <v>278</v>
      </c>
      <c r="E3" s="29" t="s">
        <v>275</v>
      </c>
      <c r="F3" s="25" t="s">
        <v>276</v>
      </c>
      <c r="G3" s="29" t="s">
        <v>277</v>
      </c>
      <c r="H3" s="181" t="str">
        <f t="shared" ref="H3:H49" si="0">CONCATENATE(A3,"/",B3,"/",C3,"/",D3)</f>
        <v>Casandra/Cuartos/LuzEstado/02</v>
      </c>
    </row>
    <row r="4" spans="1:8" x14ac:dyDescent="0.3">
      <c r="A4" s="179" t="s">
        <v>53</v>
      </c>
      <c r="B4" s="29" t="s">
        <v>249</v>
      </c>
      <c r="C4" s="29" t="s">
        <v>273</v>
      </c>
      <c r="D4" s="180" t="s">
        <v>279</v>
      </c>
      <c r="E4" s="29" t="s">
        <v>275</v>
      </c>
      <c r="F4" s="25" t="s">
        <v>276</v>
      </c>
      <c r="G4" s="29" t="s">
        <v>277</v>
      </c>
      <c r="H4" s="181" t="str">
        <f t="shared" si="0"/>
        <v>Casandra/Cuartos/LuzEstado/03</v>
      </c>
    </row>
    <row r="5" spans="1:8" x14ac:dyDescent="0.3">
      <c r="A5" s="179" t="s">
        <v>53</v>
      </c>
      <c r="B5" s="29" t="s">
        <v>249</v>
      </c>
      <c r="C5" s="29" t="s">
        <v>273</v>
      </c>
      <c r="D5" s="180" t="s">
        <v>280</v>
      </c>
      <c r="E5" s="29" t="s">
        <v>275</v>
      </c>
      <c r="F5" s="25" t="s">
        <v>276</v>
      </c>
      <c r="G5" s="29" t="s">
        <v>277</v>
      </c>
      <c r="H5" s="181" t="str">
        <f t="shared" si="0"/>
        <v>Casandra/Cuartos/LuzEstado/04</v>
      </c>
    </row>
    <row r="6" spans="1:8" x14ac:dyDescent="0.3">
      <c r="A6" s="179" t="s">
        <v>53</v>
      </c>
      <c r="B6" s="29" t="s">
        <v>249</v>
      </c>
      <c r="C6" s="29" t="s">
        <v>273</v>
      </c>
      <c r="D6" s="180" t="s">
        <v>281</v>
      </c>
      <c r="E6" s="29" t="s">
        <v>275</v>
      </c>
      <c r="F6" s="25" t="s">
        <v>276</v>
      </c>
      <c r="G6" s="29" t="s">
        <v>277</v>
      </c>
      <c r="H6" s="181" t="str">
        <f t="shared" si="0"/>
        <v>Casandra/Cuartos/LuzEstado/05</v>
      </c>
    </row>
    <row r="7" spans="1:8" x14ac:dyDescent="0.3">
      <c r="A7" s="179" t="s">
        <v>53</v>
      </c>
      <c r="B7" s="29" t="s">
        <v>249</v>
      </c>
      <c r="C7" s="29" t="s">
        <v>273</v>
      </c>
      <c r="D7" s="180" t="s">
        <v>282</v>
      </c>
      <c r="E7" s="29" t="s">
        <v>275</v>
      </c>
      <c r="F7" s="25" t="s">
        <v>276</v>
      </c>
      <c r="G7" s="29" t="s">
        <v>277</v>
      </c>
      <c r="H7" s="181" t="str">
        <f t="shared" si="0"/>
        <v>Casandra/Cuartos/LuzEstado/06</v>
      </c>
    </row>
    <row r="8" spans="1:8" x14ac:dyDescent="0.3">
      <c r="A8" s="179" t="s">
        <v>53</v>
      </c>
      <c r="B8" s="29" t="s">
        <v>249</v>
      </c>
      <c r="C8" s="29" t="s">
        <v>273</v>
      </c>
      <c r="D8" s="180" t="s">
        <v>283</v>
      </c>
      <c r="E8" s="29" t="s">
        <v>275</v>
      </c>
      <c r="F8" s="25" t="s">
        <v>276</v>
      </c>
      <c r="G8" s="29" t="s">
        <v>277</v>
      </c>
      <c r="H8" s="181" t="str">
        <f t="shared" si="0"/>
        <v>Casandra/Cuartos/LuzEstado/07</v>
      </c>
    </row>
    <row r="9" spans="1:8" x14ac:dyDescent="0.3">
      <c r="A9" s="179" t="s">
        <v>53</v>
      </c>
      <c r="B9" s="29" t="s">
        <v>249</v>
      </c>
      <c r="C9" s="29" t="s">
        <v>273</v>
      </c>
      <c r="D9" s="180" t="s">
        <v>284</v>
      </c>
      <c r="E9" s="29" t="s">
        <v>275</v>
      </c>
      <c r="F9" s="25" t="s">
        <v>276</v>
      </c>
      <c r="G9" s="29" t="s">
        <v>277</v>
      </c>
      <c r="H9" s="181" t="str">
        <f t="shared" si="0"/>
        <v>Casandra/Cuartos/LuzEstado/08</v>
      </c>
    </row>
    <row r="10" spans="1:8" x14ac:dyDescent="0.3">
      <c r="A10" s="179" t="s">
        <v>53</v>
      </c>
      <c r="B10" s="29" t="s">
        <v>249</v>
      </c>
      <c r="C10" s="29" t="s">
        <v>273</v>
      </c>
      <c r="D10" s="180" t="s">
        <v>285</v>
      </c>
      <c r="E10" s="29" t="s">
        <v>275</v>
      </c>
      <c r="F10" s="25" t="s">
        <v>276</v>
      </c>
      <c r="G10" s="29" t="s">
        <v>277</v>
      </c>
      <c r="H10" s="181" t="str">
        <f t="shared" si="0"/>
        <v>Casandra/Cuartos/LuzEstado/09</v>
      </c>
    </row>
    <row r="11" spans="1:8" x14ac:dyDescent="0.3">
      <c r="A11" s="179" t="s">
        <v>53</v>
      </c>
      <c r="B11" s="29" t="s">
        <v>249</v>
      </c>
      <c r="C11" s="29" t="s">
        <v>273</v>
      </c>
      <c r="D11" s="180" t="s">
        <v>286</v>
      </c>
      <c r="E11" s="29" t="s">
        <v>275</v>
      </c>
      <c r="F11" s="25" t="s">
        <v>276</v>
      </c>
      <c r="G11" s="29" t="s">
        <v>277</v>
      </c>
      <c r="H11" s="181" t="str">
        <f t="shared" si="0"/>
        <v>Casandra/Cuartos/LuzEstado/10</v>
      </c>
    </row>
    <row r="12" spans="1:8" x14ac:dyDescent="0.3">
      <c r="A12" s="179" t="s">
        <v>53</v>
      </c>
      <c r="B12" s="29" t="s">
        <v>249</v>
      </c>
      <c r="C12" s="29" t="s">
        <v>273</v>
      </c>
      <c r="D12" s="180" t="s">
        <v>287</v>
      </c>
      <c r="E12" s="29" t="s">
        <v>275</v>
      </c>
      <c r="F12" s="25" t="s">
        <v>276</v>
      </c>
      <c r="G12" s="29" t="s">
        <v>277</v>
      </c>
      <c r="H12" s="181" t="str">
        <f t="shared" si="0"/>
        <v>Casandra/Cuartos/LuzEstado/11</v>
      </c>
    </row>
    <row r="13" spans="1:8" x14ac:dyDescent="0.3">
      <c r="A13" s="179" t="s">
        <v>53</v>
      </c>
      <c r="B13" s="29" t="s">
        <v>249</v>
      </c>
      <c r="C13" s="29" t="s">
        <v>273</v>
      </c>
      <c r="D13" s="180" t="s">
        <v>288</v>
      </c>
      <c r="E13" s="29" t="s">
        <v>275</v>
      </c>
      <c r="F13" s="25" t="s">
        <v>276</v>
      </c>
      <c r="G13" s="29" t="s">
        <v>277</v>
      </c>
      <c r="H13" s="181" t="str">
        <f t="shared" si="0"/>
        <v>Casandra/Cuartos/LuzEstado/12</v>
      </c>
    </row>
    <row r="14" spans="1:8" x14ac:dyDescent="0.3">
      <c r="A14" s="179" t="s">
        <v>53</v>
      </c>
      <c r="B14" s="29" t="s">
        <v>249</v>
      </c>
      <c r="C14" s="29" t="s">
        <v>273</v>
      </c>
      <c r="D14" s="180" t="s">
        <v>289</v>
      </c>
      <c r="E14" s="29" t="s">
        <v>275</v>
      </c>
      <c r="F14" s="25" t="s">
        <v>276</v>
      </c>
      <c r="G14" s="29" t="s">
        <v>277</v>
      </c>
      <c r="H14" s="181" t="str">
        <f t="shared" si="0"/>
        <v>Casandra/Cuartos/LuzEstado/13</v>
      </c>
    </row>
    <row r="15" spans="1:8" x14ac:dyDescent="0.3">
      <c r="A15" s="179" t="s">
        <v>53</v>
      </c>
      <c r="B15" s="29" t="s">
        <v>249</v>
      </c>
      <c r="C15" s="29" t="s">
        <v>273</v>
      </c>
      <c r="D15" s="180" t="s">
        <v>290</v>
      </c>
      <c r="E15" s="29" t="s">
        <v>275</v>
      </c>
      <c r="F15" s="25" t="s">
        <v>276</v>
      </c>
      <c r="G15" s="29" t="s">
        <v>277</v>
      </c>
      <c r="H15" s="181" t="str">
        <f t="shared" si="0"/>
        <v>Casandra/Cuartos/LuzEstado/14</v>
      </c>
    </row>
    <row r="16" spans="1:8" x14ac:dyDescent="0.3">
      <c r="A16" s="179" t="s">
        <v>53</v>
      </c>
      <c r="B16" s="29" t="s">
        <v>249</v>
      </c>
      <c r="C16" s="29" t="s">
        <v>273</v>
      </c>
      <c r="D16" s="180" t="s">
        <v>291</v>
      </c>
      <c r="E16" s="29" t="s">
        <v>275</v>
      </c>
      <c r="F16" s="25" t="s">
        <v>276</v>
      </c>
      <c r="G16" s="29" t="s">
        <v>277</v>
      </c>
      <c r="H16" s="181" t="str">
        <f t="shared" si="0"/>
        <v>Casandra/Cuartos/LuzEstado/15</v>
      </c>
    </row>
    <row r="17" spans="1:8" x14ac:dyDescent="0.3">
      <c r="A17" s="179" t="s">
        <v>53</v>
      </c>
      <c r="B17" s="29" t="s">
        <v>249</v>
      </c>
      <c r="C17" s="29" t="s">
        <v>273</v>
      </c>
      <c r="D17" s="180" t="s">
        <v>292</v>
      </c>
      <c r="E17" s="29" t="s">
        <v>275</v>
      </c>
      <c r="F17" s="25" t="s">
        <v>276</v>
      </c>
      <c r="G17" s="29" t="s">
        <v>277</v>
      </c>
      <c r="H17" s="181" t="str">
        <f t="shared" si="0"/>
        <v>Casandra/Cuartos/LuzEstado/16</v>
      </c>
    </row>
    <row r="18" spans="1:8" x14ac:dyDescent="0.3">
      <c r="A18" s="179" t="s">
        <v>53</v>
      </c>
      <c r="B18" s="29" t="s">
        <v>249</v>
      </c>
      <c r="C18" s="29" t="s">
        <v>273</v>
      </c>
      <c r="D18" s="180" t="s">
        <v>293</v>
      </c>
      <c r="E18" s="29" t="s">
        <v>275</v>
      </c>
      <c r="F18" s="25" t="s">
        <v>276</v>
      </c>
      <c r="G18" s="29" t="s">
        <v>277</v>
      </c>
      <c r="H18" s="181" t="str">
        <f t="shared" si="0"/>
        <v>Casandra/Cuartos/LuzEstado/17</v>
      </c>
    </row>
    <row r="19" spans="1:8" x14ac:dyDescent="0.3">
      <c r="A19" s="179" t="s">
        <v>53</v>
      </c>
      <c r="B19" s="29" t="s">
        <v>249</v>
      </c>
      <c r="C19" s="29" t="s">
        <v>273</v>
      </c>
      <c r="D19" s="180" t="s">
        <v>294</v>
      </c>
      <c r="E19" s="29" t="s">
        <v>275</v>
      </c>
      <c r="F19" s="25" t="s">
        <v>276</v>
      </c>
      <c r="G19" s="29" t="s">
        <v>277</v>
      </c>
      <c r="H19" s="181" t="str">
        <f t="shared" si="0"/>
        <v>Casandra/Cuartos/LuzEstado/18</v>
      </c>
    </row>
    <row r="20" spans="1:8" x14ac:dyDescent="0.3">
      <c r="A20" s="179" t="s">
        <v>53</v>
      </c>
      <c r="B20" s="29" t="s">
        <v>249</v>
      </c>
      <c r="C20" s="29" t="s">
        <v>273</v>
      </c>
      <c r="D20" s="180" t="s">
        <v>295</v>
      </c>
      <c r="E20" s="29" t="s">
        <v>275</v>
      </c>
      <c r="F20" s="25" t="s">
        <v>276</v>
      </c>
      <c r="G20" s="29" t="s">
        <v>277</v>
      </c>
      <c r="H20" s="181" t="str">
        <f t="shared" si="0"/>
        <v>Casandra/Cuartos/LuzEstado/19</v>
      </c>
    </row>
    <row r="21" spans="1:8" x14ac:dyDescent="0.3">
      <c r="A21" s="179" t="s">
        <v>53</v>
      </c>
      <c r="B21" s="29" t="s">
        <v>249</v>
      </c>
      <c r="C21" s="29" t="s">
        <v>273</v>
      </c>
      <c r="D21" s="180" t="s">
        <v>296</v>
      </c>
      <c r="E21" s="29" t="s">
        <v>275</v>
      </c>
      <c r="F21" s="25" t="s">
        <v>276</v>
      </c>
      <c r="G21" s="29" t="s">
        <v>277</v>
      </c>
      <c r="H21" s="181" t="str">
        <f t="shared" si="0"/>
        <v>Casandra/Cuartos/LuzEstado/20</v>
      </c>
    </row>
    <row r="22" spans="1:8" x14ac:dyDescent="0.3">
      <c r="A22" s="179" t="s">
        <v>53</v>
      </c>
      <c r="B22" s="29" t="s">
        <v>249</v>
      </c>
      <c r="C22" s="29" t="s">
        <v>273</v>
      </c>
      <c r="D22" s="180" t="s">
        <v>297</v>
      </c>
      <c r="E22" s="29" t="s">
        <v>275</v>
      </c>
      <c r="F22" s="25" t="s">
        <v>276</v>
      </c>
      <c r="G22" s="29" t="s">
        <v>277</v>
      </c>
      <c r="H22" s="181" t="str">
        <f t="shared" si="0"/>
        <v>Casandra/Cuartos/LuzEstado/21</v>
      </c>
    </row>
    <row r="23" spans="1:8" x14ac:dyDescent="0.3">
      <c r="A23" s="179" t="s">
        <v>53</v>
      </c>
      <c r="B23" s="29" t="s">
        <v>249</v>
      </c>
      <c r="C23" s="29" t="s">
        <v>273</v>
      </c>
      <c r="D23" s="180" t="s">
        <v>298</v>
      </c>
      <c r="E23" s="29" t="s">
        <v>275</v>
      </c>
      <c r="F23" s="25" t="s">
        <v>276</v>
      </c>
      <c r="G23" s="29" t="s">
        <v>277</v>
      </c>
      <c r="H23" s="181" t="str">
        <f t="shared" si="0"/>
        <v>Casandra/Cuartos/LuzEstado/22</v>
      </c>
    </row>
    <row r="24" spans="1:8" x14ac:dyDescent="0.3">
      <c r="A24" s="179" t="s">
        <v>53</v>
      </c>
      <c r="B24" s="29" t="s">
        <v>249</v>
      </c>
      <c r="C24" s="29" t="s">
        <v>273</v>
      </c>
      <c r="D24" s="180" t="s">
        <v>299</v>
      </c>
      <c r="E24" s="29" t="s">
        <v>275</v>
      </c>
      <c r="F24" s="25" t="s">
        <v>276</v>
      </c>
      <c r="G24" s="29" t="s">
        <v>277</v>
      </c>
      <c r="H24" s="181" t="str">
        <f t="shared" si="0"/>
        <v>Casandra/Cuartos/LuzEstado/23</v>
      </c>
    </row>
    <row r="25" spans="1:8" x14ac:dyDescent="0.3">
      <c r="A25" s="179" t="s">
        <v>53</v>
      </c>
      <c r="B25" s="29" t="s">
        <v>249</v>
      </c>
      <c r="C25" s="29" t="s">
        <v>273</v>
      </c>
      <c r="D25" s="180" t="s">
        <v>300</v>
      </c>
      <c r="E25" s="29" t="s">
        <v>275</v>
      </c>
      <c r="F25" s="25" t="s">
        <v>276</v>
      </c>
      <c r="G25" s="29" t="s">
        <v>277</v>
      </c>
      <c r="H25" s="181" t="str">
        <f t="shared" si="0"/>
        <v>Casandra/Cuartos/LuzEstado/24</v>
      </c>
    </row>
    <row r="26" spans="1:8" x14ac:dyDescent="0.3">
      <c r="A26" s="179" t="s">
        <v>53</v>
      </c>
      <c r="B26" s="29" t="s">
        <v>249</v>
      </c>
      <c r="C26" s="29" t="s">
        <v>301</v>
      </c>
      <c r="D26" s="180" t="s">
        <v>274</v>
      </c>
      <c r="E26" s="29" t="s">
        <v>302</v>
      </c>
      <c r="F26" s="25" t="s">
        <v>303</v>
      </c>
      <c r="G26" s="29" t="s">
        <v>277</v>
      </c>
      <c r="H26" s="181" t="str">
        <f t="shared" si="0"/>
        <v>Casandra/Cuartos/LuzIntensidad/01</v>
      </c>
    </row>
    <row r="27" spans="1:8" x14ac:dyDescent="0.3">
      <c r="A27" s="179" t="s">
        <v>53</v>
      </c>
      <c r="B27" s="29" t="s">
        <v>249</v>
      </c>
      <c r="C27" s="29" t="s">
        <v>301</v>
      </c>
      <c r="D27" s="180" t="s">
        <v>278</v>
      </c>
      <c r="E27" s="29" t="s">
        <v>302</v>
      </c>
      <c r="F27" s="25" t="s">
        <v>303</v>
      </c>
      <c r="G27" s="29" t="s">
        <v>277</v>
      </c>
      <c r="H27" s="181" t="str">
        <f t="shared" si="0"/>
        <v>Casandra/Cuartos/LuzIntensidad/02</v>
      </c>
    </row>
    <row r="28" spans="1:8" x14ac:dyDescent="0.3">
      <c r="A28" s="179" t="s">
        <v>53</v>
      </c>
      <c r="B28" s="29" t="s">
        <v>249</v>
      </c>
      <c r="C28" s="29" t="s">
        <v>301</v>
      </c>
      <c r="D28" s="180" t="s">
        <v>279</v>
      </c>
      <c r="E28" s="29" t="s">
        <v>302</v>
      </c>
      <c r="F28" s="25" t="s">
        <v>303</v>
      </c>
      <c r="G28" s="29" t="s">
        <v>277</v>
      </c>
      <c r="H28" s="181" t="str">
        <f t="shared" si="0"/>
        <v>Casandra/Cuartos/LuzIntensidad/03</v>
      </c>
    </row>
    <row r="29" spans="1:8" x14ac:dyDescent="0.3">
      <c r="A29" s="179" t="s">
        <v>53</v>
      </c>
      <c r="B29" s="29" t="s">
        <v>249</v>
      </c>
      <c r="C29" s="29" t="s">
        <v>301</v>
      </c>
      <c r="D29" s="180" t="s">
        <v>280</v>
      </c>
      <c r="E29" s="29" t="s">
        <v>302</v>
      </c>
      <c r="F29" s="25" t="s">
        <v>303</v>
      </c>
      <c r="G29" s="29" t="s">
        <v>277</v>
      </c>
      <c r="H29" s="181" t="str">
        <f t="shared" si="0"/>
        <v>Casandra/Cuartos/LuzIntensidad/04</v>
      </c>
    </row>
    <row r="30" spans="1:8" x14ac:dyDescent="0.3">
      <c r="A30" s="179" t="s">
        <v>53</v>
      </c>
      <c r="B30" s="29" t="s">
        <v>249</v>
      </c>
      <c r="C30" s="29" t="s">
        <v>301</v>
      </c>
      <c r="D30" s="180" t="s">
        <v>281</v>
      </c>
      <c r="E30" s="29" t="s">
        <v>302</v>
      </c>
      <c r="F30" s="25" t="s">
        <v>303</v>
      </c>
      <c r="G30" s="29" t="s">
        <v>277</v>
      </c>
      <c r="H30" s="181" t="str">
        <f t="shared" si="0"/>
        <v>Casandra/Cuartos/LuzIntensidad/05</v>
      </c>
    </row>
    <row r="31" spans="1:8" x14ac:dyDescent="0.3">
      <c r="A31" s="179" t="s">
        <v>53</v>
      </c>
      <c r="B31" s="29" t="s">
        <v>249</v>
      </c>
      <c r="C31" s="29" t="s">
        <v>301</v>
      </c>
      <c r="D31" s="180" t="s">
        <v>282</v>
      </c>
      <c r="E31" s="29" t="s">
        <v>302</v>
      </c>
      <c r="F31" s="25" t="s">
        <v>303</v>
      </c>
      <c r="G31" s="29" t="s">
        <v>277</v>
      </c>
      <c r="H31" s="181" t="str">
        <f t="shared" si="0"/>
        <v>Casandra/Cuartos/LuzIntensidad/06</v>
      </c>
    </row>
    <row r="32" spans="1:8" x14ac:dyDescent="0.3">
      <c r="A32" s="179" t="s">
        <v>53</v>
      </c>
      <c r="B32" s="29" t="s">
        <v>249</v>
      </c>
      <c r="C32" s="29" t="s">
        <v>301</v>
      </c>
      <c r="D32" s="180" t="s">
        <v>283</v>
      </c>
      <c r="E32" s="29" t="s">
        <v>302</v>
      </c>
      <c r="F32" s="25" t="s">
        <v>303</v>
      </c>
      <c r="G32" s="29" t="s">
        <v>277</v>
      </c>
      <c r="H32" s="181" t="str">
        <f t="shared" si="0"/>
        <v>Casandra/Cuartos/LuzIntensidad/07</v>
      </c>
    </row>
    <row r="33" spans="1:8" x14ac:dyDescent="0.3">
      <c r="A33" s="179" t="s">
        <v>53</v>
      </c>
      <c r="B33" s="29" t="s">
        <v>249</v>
      </c>
      <c r="C33" s="29" t="s">
        <v>301</v>
      </c>
      <c r="D33" s="180" t="s">
        <v>284</v>
      </c>
      <c r="E33" s="29" t="s">
        <v>302</v>
      </c>
      <c r="F33" s="25" t="s">
        <v>303</v>
      </c>
      <c r="G33" s="29" t="s">
        <v>277</v>
      </c>
      <c r="H33" s="181" t="str">
        <f t="shared" si="0"/>
        <v>Casandra/Cuartos/LuzIntensidad/08</v>
      </c>
    </row>
    <row r="34" spans="1:8" x14ac:dyDescent="0.3">
      <c r="A34" s="179" t="s">
        <v>53</v>
      </c>
      <c r="B34" s="29" t="s">
        <v>249</v>
      </c>
      <c r="C34" s="29" t="s">
        <v>301</v>
      </c>
      <c r="D34" s="180" t="s">
        <v>285</v>
      </c>
      <c r="E34" s="29" t="s">
        <v>302</v>
      </c>
      <c r="F34" s="25" t="s">
        <v>303</v>
      </c>
      <c r="G34" s="29" t="s">
        <v>277</v>
      </c>
      <c r="H34" s="181" t="str">
        <f t="shared" si="0"/>
        <v>Casandra/Cuartos/LuzIntensidad/09</v>
      </c>
    </row>
    <row r="35" spans="1:8" x14ac:dyDescent="0.3">
      <c r="A35" s="179" t="s">
        <v>53</v>
      </c>
      <c r="B35" s="29" t="s">
        <v>249</v>
      </c>
      <c r="C35" s="29" t="s">
        <v>301</v>
      </c>
      <c r="D35" s="180" t="s">
        <v>286</v>
      </c>
      <c r="E35" s="29" t="s">
        <v>302</v>
      </c>
      <c r="F35" s="25" t="s">
        <v>303</v>
      </c>
      <c r="G35" s="29" t="s">
        <v>277</v>
      </c>
      <c r="H35" s="181" t="str">
        <f t="shared" si="0"/>
        <v>Casandra/Cuartos/LuzIntensidad/10</v>
      </c>
    </row>
    <row r="36" spans="1:8" x14ac:dyDescent="0.3">
      <c r="A36" s="179" t="s">
        <v>53</v>
      </c>
      <c r="B36" s="29" t="s">
        <v>249</v>
      </c>
      <c r="C36" s="29" t="s">
        <v>301</v>
      </c>
      <c r="D36" s="180" t="s">
        <v>287</v>
      </c>
      <c r="E36" s="29" t="s">
        <v>302</v>
      </c>
      <c r="F36" s="25" t="s">
        <v>303</v>
      </c>
      <c r="G36" s="29" t="s">
        <v>277</v>
      </c>
      <c r="H36" s="181" t="str">
        <f t="shared" si="0"/>
        <v>Casandra/Cuartos/LuzIntensidad/11</v>
      </c>
    </row>
    <row r="37" spans="1:8" x14ac:dyDescent="0.3">
      <c r="A37" s="179" t="s">
        <v>53</v>
      </c>
      <c r="B37" s="29" t="s">
        <v>249</v>
      </c>
      <c r="C37" s="29" t="s">
        <v>301</v>
      </c>
      <c r="D37" s="180" t="s">
        <v>288</v>
      </c>
      <c r="E37" s="29" t="s">
        <v>302</v>
      </c>
      <c r="F37" s="25" t="s">
        <v>303</v>
      </c>
      <c r="G37" s="29" t="s">
        <v>277</v>
      </c>
      <c r="H37" s="181" t="str">
        <f t="shared" si="0"/>
        <v>Casandra/Cuartos/LuzIntensidad/12</v>
      </c>
    </row>
    <row r="38" spans="1:8" x14ac:dyDescent="0.3">
      <c r="A38" s="179" t="s">
        <v>53</v>
      </c>
      <c r="B38" s="29" t="s">
        <v>249</v>
      </c>
      <c r="C38" s="29" t="s">
        <v>301</v>
      </c>
      <c r="D38" s="180" t="s">
        <v>289</v>
      </c>
      <c r="E38" s="29" t="s">
        <v>302</v>
      </c>
      <c r="F38" s="25" t="s">
        <v>303</v>
      </c>
      <c r="G38" s="29" t="s">
        <v>277</v>
      </c>
      <c r="H38" s="181" t="str">
        <f t="shared" si="0"/>
        <v>Casandra/Cuartos/LuzIntensidad/13</v>
      </c>
    </row>
    <row r="39" spans="1:8" x14ac:dyDescent="0.3">
      <c r="A39" s="179" t="s">
        <v>53</v>
      </c>
      <c r="B39" s="29" t="s">
        <v>249</v>
      </c>
      <c r="C39" s="29" t="s">
        <v>301</v>
      </c>
      <c r="D39" s="180" t="s">
        <v>290</v>
      </c>
      <c r="E39" s="29" t="s">
        <v>302</v>
      </c>
      <c r="F39" s="25" t="s">
        <v>303</v>
      </c>
      <c r="G39" s="29" t="s">
        <v>277</v>
      </c>
      <c r="H39" s="181" t="str">
        <f t="shared" si="0"/>
        <v>Casandra/Cuartos/LuzIntensidad/14</v>
      </c>
    </row>
    <row r="40" spans="1:8" x14ac:dyDescent="0.3">
      <c r="A40" s="179" t="s">
        <v>53</v>
      </c>
      <c r="B40" s="29" t="s">
        <v>249</v>
      </c>
      <c r="C40" s="29" t="s">
        <v>301</v>
      </c>
      <c r="D40" s="180" t="s">
        <v>291</v>
      </c>
      <c r="E40" s="29" t="s">
        <v>302</v>
      </c>
      <c r="F40" s="25" t="s">
        <v>303</v>
      </c>
      <c r="G40" s="29" t="s">
        <v>277</v>
      </c>
      <c r="H40" s="181" t="str">
        <f t="shared" si="0"/>
        <v>Casandra/Cuartos/LuzIntensidad/15</v>
      </c>
    </row>
    <row r="41" spans="1:8" x14ac:dyDescent="0.3">
      <c r="A41" s="179" t="s">
        <v>53</v>
      </c>
      <c r="B41" s="29" t="s">
        <v>249</v>
      </c>
      <c r="C41" s="29" t="s">
        <v>301</v>
      </c>
      <c r="D41" s="180" t="s">
        <v>292</v>
      </c>
      <c r="E41" s="29" t="s">
        <v>302</v>
      </c>
      <c r="F41" s="25" t="s">
        <v>303</v>
      </c>
      <c r="G41" s="29" t="s">
        <v>277</v>
      </c>
      <c r="H41" s="181" t="str">
        <f t="shared" si="0"/>
        <v>Casandra/Cuartos/LuzIntensidad/16</v>
      </c>
    </row>
    <row r="42" spans="1:8" x14ac:dyDescent="0.3">
      <c r="A42" s="179" t="s">
        <v>53</v>
      </c>
      <c r="B42" s="29" t="s">
        <v>249</v>
      </c>
      <c r="C42" s="29" t="s">
        <v>301</v>
      </c>
      <c r="D42" s="180" t="s">
        <v>293</v>
      </c>
      <c r="E42" s="29" t="s">
        <v>302</v>
      </c>
      <c r="F42" s="25" t="s">
        <v>303</v>
      </c>
      <c r="G42" s="29" t="s">
        <v>277</v>
      </c>
      <c r="H42" s="181" t="str">
        <f t="shared" si="0"/>
        <v>Casandra/Cuartos/LuzIntensidad/17</v>
      </c>
    </row>
    <row r="43" spans="1:8" x14ac:dyDescent="0.3">
      <c r="A43" s="179" t="s">
        <v>53</v>
      </c>
      <c r="B43" s="29" t="s">
        <v>249</v>
      </c>
      <c r="C43" s="29" t="s">
        <v>301</v>
      </c>
      <c r="D43" s="180" t="s">
        <v>294</v>
      </c>
      <c r="E43" s="29" t="s">
        <v>302</v>
      </c>
      <c r="F43" s="25" t="s">
        <v>303</v>
      </c>
      <c r="G43" s="29" t="s">
        <v>277</v>
      </c>
      <c r="H43" s="181" t="str">
        <f t="shared" si="0"/>
        <v>Casandra/Cuartos/LuzIntensidad/18</v>
      </c>
    </row>
    <row r="44" spans="1:8" x14ac:dyDescent="0.3">
      <c r="A44" s="179" t="s">
        <v>53</v>
      </c>
      <c r="B44" s="29" t="s">
        <v>249</v>
      </c>
      <c r="C44" s="29" t="s">
        <v>301</v>
      </c>
      <c r="D44" s="180" t="s">
        <v>295</v>
      </c>
      <c r="E44" s="29" t="s">
        <v>302</v>
      </c>
      <c r="F44" s="25" t="s">
        <v>303</v>
      </c>
      <c r="G44" s="29" t="s">
        <v>277</v>
      </c>
      <c r="H44" s="181" t="str">
        <f t="shared" si="0"/>
        <v>Casandra/Cuartos/LuzIntensidad/19</v>
      </c>
    </row>
    <row r="45" spans="1:8" x14ac:dyDescent="0.3">
      <c r="A45" s="179" t="s">
        <v>53</v>
      </c>
      <c r="B45" s="29" t="s">
        <v>249</v>
      </c>
      <c r="C45" s="29" t="s">
        <v>301</v>
      </c>
      <c r="D45" s="180" t="s">
        <v>296</v>
      </c>
      <c r="E45" s="29" t="s">
        <v>302</v>
      </c>
      <c r="F45" s="25" t="s">
        <v>303</v>
      </c>
      <c r="G45" s="29" t="s">
        <v>277</v>
      </c>
      <c r="H45" s="181" t="str">
        <f t="shared" si="0"/>
        <v>Casandra/Cuartos/LuzIntensidad/20</v>
      </c>
    </row>
    <row r="46" spans="1:8" x14ac:dyDescent="0.3">
      <c r="A46" s="179" t="s">
        <v>53</v>
      </c>
      <c r="B46" s="29" t="s">
        <v>249</v>
      </c>
      <c r="C46" s="29" t="s">
        <v>301</v>
      </c>
      <c r="D46" s="180" t="s">
        <v>297</v>
      </c>
      <c r="E46" s="29" t="s">
        <v>302</v>
      </c>
      <c r="F46" s="25" t="s">
        <v>303</v>
      </c>
      <c r="G46" s="29" t="s">
        <v>277</v>
      </c>
      <c r="H46" s="181" t="str">
        <f t="shared" si="0"/>
        <v>Casandra/Cuartos/LuzIntensidad/21</v>
      </c>
    </row>
    <row r="47" spans="1:8" x14ac:dyDescent="0.3">
      <c r="A47" s="179" t="s">
        <v>53</v>
      </c>
      <c r="B47" s="29" t="s">
        <v>249</v>
      </c>
      <c r="C47" s="29" t="s">
        <v>301</v>
      </c>
      <c r="D47" s="180" t="s">
        <v>298</v>
      </c>
      <c r="E47" s="29" t="s">
        <v>302</v>
      </c>
      <c r="F47" s="25" t="s">
        <v>303</v>
      </c>
      <c r="G47" s="29" t="s">
        <v>277</v>
      </c>
      <c r="H47" s="181" t="str">
        <f t="shared" si="0"/>
        <v>Casandra/Cuartos/LuzIntensidad/22</v>
      </c>
    </row>
    <row r="48" spans="1:8" x14ac:dyDescent="0.3">
      <c r="A48" s="179" t="s">
        <v>53</v>
      </c>
      <c r="B48" s="29" t="s">
        <v>249</v>
      </c>
      <c r="C48" s="29" t="s">
        <v>301</v>
      </c>
      <c r="D48" s="180" t="s">
        <v>299</v>
      </c>
      <c r="E48" s="29" t="s">
        <v>302</v>
      </c>
      <c r="F48" s="25" t="s">
        <v>303</v>
      </c>
      <c r="G48" s="29" t="s">
        <v>277</v>
      </c>
      <c r="H48" s="181" t="str">
        <f t="shared" si="0"/>
        <v>Casandra/Cuartos/LuzIntensidad/23</v>
      </c>
    </row>
    <row r="49" spans="1:8" x14ac:dyDescent="0.3">
      <c r="A49" s="179" t="s">
        <v>53</v>
      </c>
      <c r="B49" s="29" t="s">
        <v>249</v>
      </c>
      <c r="C49" s="29" t="s">
        <v>301</v>
      </c>
      <c r="D49" s="180" t="s">
        <v>300</v>
      </c>
      <c r="E49" s="29" t="s">
        <v>302</v>
      </c>
      <c r="F49" s="25" t="s">
        <v>303</v>
      </c>
      <c r="G49" s="29" t="s">
        <v>277</v>
      </c>
      <c r="H49" s="181" t="str">
        <f t="shared" si="0"/>
        <v>Casandra/Cuartos/LuzIntensidad/24</v>
      </c>
    </row>
    <row r="50" spans="1:8" x14ac:dyDescent="0.3">
      <c r="A50" s="179" t="s">
        <v>53</v>
      </c>
      <c r="B50" s="29" t="s">
        <v>249</v>
      </c>
      <c r="C50" s="29" t="s">
        <v>304</v>
      </c>
      <c r="D50" s="180" t="s">
        <v>274</v>
      </c>
      <c r="E50" s="29" t="s">
        <v>305</v>
      </c>
      <c r="F50" s="25" t="s">
        <v>306</v>
      </c>
      <c r="G50" s="29" t="s">
        <v>307</v>
      </c>
      <c r="H50" s="181" t="str">
        <f t="shared" ref="H50:H54" si="1">CONCATENATE(A50,"/",B50,"/",C50,"/",D50,)</f>
        <v>Casandra/Cuartos/Temperatura/01</v>
      </c>
    </row>
    <row r="51" spans="1:8" x14ac:dyDescent="0.3">
      <c r="A51" s="179" t="s">
        <v>53</v>
      </c>
      <c r="B51" s="29" t="s">
        <v>249</v>
      </c>
      <c r="C51" s="29" t="s">
        <v>304</v>
      </c>
      <c r="D51" s="180" t="s">
        <v>278</v>
      </c>
      <c r="E51" s="29" t="s">
        <v>305</v>
      </c>
      <c r="F51" s="25" t="s">
        <v>306</v>
      </c>
      <c r="G51" s="29" t="s">
        <v>307</v>
      </c>
      <c r="H51" s="181" t="str">
        <f t="shared" si="1"/>
        <v>Casandra/Cuartos/Temperatura/02</v>
      </c>
    </row>
    <row r="52" spans="1:8" x14ac:dyDescent="0.3">
      <c r="A52" s="179" t="s">
        <v>53</v>
      </c>
      <c r="B52" s="29" t="s">
        <v>249</v>
      </c>
      <c r="C52" s="29" t="s">
        <v>308</v>
      </c>
      <c r="D52" s="180" t="s">
        <v>274</v>
      </c>
      <c r="E52" s="29" t="s">
        <v>305</v>
      </c>
      <c r="F52" s="25" t="s">
        <v>309</v>
      </c>
      <c r="G52" s="29" t="s">
        <v>307</v>
      </c>
      <c r="H52" s="181" t="str">
        <f t="shared" si="1"/>
        <v>Casandra/Cuartos/Humedad/01</v>
      </c>
    </row>
    <row r="53" spans="1:8" x14ac:dyDescent="0.3">
      <c r="A53" s="179" t="s">
        <v>53</v>
      </c>
      <c r="B53" s="29" t="s">
        <v>249</v>
      </c>
      <c r="C53" s="29" t="s">
        <v>308</v>
      </c>
      <c r="D53" s="180" t="s">
        <v>278</v>
      </c>
      <c r="E53" s="29" t="s">
        <v>305</v>
      </c>
      <c r="F53" s="25" t="s">
        <v>309</v>
      </c>
      <c r="G53" s="29" t="s">
        <v>307</v>
      </c>
      <c r="H53" s="181" t="str">
        <f t="shared" si="1"/>
        <v>Casandra/Cuartos/Humedad/02</v>
      </c>
    </row>
    <row r="54" spans="1:8" x14ac:dyDescent="0.3">
      <c r="A54" s="179" t="s">
        <v>53</v>
      </c>
      <c r="B54" s="29" t="s">
        <v>249</v>
      </c>
      <c r="C54" s="29" t="s">
        <v>310</v>
      </c>
      <c r="D54" s="180" t="s">
        <v>274</v>
      </c>
      <c r="E54" s="29" t="s">
        <v>275</v>
      </c>
      <c r="F54" s="25" t="s">
        <v>311</v>
      </c>
      <c r="G54" s="29" t="s">
        <v>307</v>
      </c>
      <c r="H54" s="181" t="str">
        <f t="shared" si="1"/>
        <v>Casandra/Cuartos/SensorMov/01</v>
      </c>
    </row>
    <row r="55" spans="1:8" x14ac:dyDescent="0.3">
      <c r="A55" s="179" t="s">
        <v>53</v>
      </c>
      <c r="B55" s="29" t="s">
        <v>249</v>
      </c>
      <c r="C55" s="29" t="s">
        <v>310</v>
      </c>
      <c r="D55" s="180" t="s">
        <v>278</v>
      </c>
      <c r="E55" s="29" t="s">
        <v>420</v>
      </c>
      <c r="F55" s="25" t="s">
        <v>311</v>
      </c>
      <c r="G55" s="29" t="s">
        <v>307</v>
      </c>
      <c r="H55" s="181" t="str">
        <f t="shared" ref="H55:H58" si="2">CONCATENATE(A55,"/",B55,"/",C55,"/",D55,)</f>
        <v>Casandra/Cuartos/SensorMov/02</v>
      </c>
    </row>
    <row r="56" spans="1:8" x14ac:dyDescent="0.3">
      <c r="A56" s="179" t="s">
        <v>53</v>
      </c>
      <c r="B56" s="29" t="s">
        <v>249</v>
      </c>
      <c r="C56" s="29" t="s">
        <v>248</v>
      </c>
      <c r="D56" s="180"/>
      <c r="E56" s="29" t="s">
        <v>479</v>
      </c>
      <c r="F56" s="25" t="s">
        <v>465</v>
      </c>
      <c r="G56" s="29" t="s">
        <v>307</v>
      </c>
      <c r="H56" s="181" t="str">
        <f>CONCATENATE(A56,"/",B56,"/",C56,)</f>
        <v>Casandra/Cuartos/Mosquito</v>
      </c>
    </row>
    <row r="57" spans="1:8" thickBot="1" x14ac:dyDescent="0.3">
      <c r="A57" s="179" t="s">
        <v>53</v>
      </c>
      <c r="B57" s="29" t="s">
        <v>249</v>
      </c>
      <c r="C57" s="29" t="s">
        <v>421</v>
      </c>
      <c r="D57" s="180" t="s">
        <v>422</v>
      </c>
      <c r="E57" s="29" t="s">
        <v>431</v>
      </c>
      <c r="F57" s="25" t="s">
        <v>423</v>
      </c>
      <c r="G57" s="29" t="s">
        <v>277</v>
      </c>
      <c r="H57" s="181" t="str">
        <f t="shared" ref="H57" si="3">CONCATENATE(A57,"/",B57,"/",C57,"/",D57,)</f>
        <v>Casandra/Cuartos/Modulo/1</v>
      </c>
    </row>
    <row r="58" spans="1:8" ht="15" x14ac:dyDescent="0.35">
      <c r="A58" s="179" t="s">
        <v>53</v>
      </c>
      <c r="B58" s="29" t="s">
        <v>249</v>
      </c>
      <c r="C58" s="29" t="s">
        <v>421</v>
      </c>
      <c r="D58" s="180" t="s">
        <v>424</v>
      </c>
      <c r="E58" s="29" t="s">
        <v>431</v>
      </c>
      <c r="F58" s="25" t="s">
        <v>423</v>
      </c>
      <c r="G58" s="29" t="s">
        <v>277</v>
      </c>
      <c r="H58" s="181" t="str">
        <f t="shared" si="2"/>
        <v>Casandra/Cuartos/Modulo/2</v>
      </c>
    </row>
    <row r="59" spans="1:8" x14ac:dyDescent="0.3">
      <c r="A59" s="174" t="s">
        <v>53</v>
      </c>
      <c r="B59" s="175" t="s">
        <v>251</v>
      </c>
      <c r="C59" s="175" t="s">
        <v>273</v>
      </c>
      <c r="D59" s="176" t="s">
        <v>274</v>
      </c>
      <c r="E59" s="175" t="s">
        <v>275</v>
      </c>
      <c r="F59" s="177" t="s">
        <v>276</v>
      </c>
      <c r="G59" s="175" t="s">
        <v>277</v>
      </c>
      <c r="H59" s="178" t="str">
        <f>CONCATENATE(A59,"/",B59,"/",C59,"/",D59)</f>
        <v>Casandra/Cocina/LuzEstado/01</v>
      </c>
    </row>
    <row r="60" spans="1:8" x14ac:dyDescent="0.3">
      <c r="A60" s="179" t="s">
        <v>53</v>
      </c>
      <c r="B60" s="29" t="s">
        <v>251</v>
      </c>
      <c r="C60" s="29" t="s">
        <v>273</v>
      </c>
      <c r="D60" s="180" t="s">
        <v>278</v>
      </c>
      <c r="E60" s="29" t="s">
        <v>275</v>
      </c>
      <c r="F60" s="25" t="s">
        <v>276</v>
      </c>
      <c r="G60" s="29" t="s">
        <v>277</v>
      </c>
      <c r="H60" s="181" t="str">
        <f t="shared" ref="H60:H108" si="4">CONCATENATE(A60,"/",B60,"/",C60,"/",D60)</f>
        <v>Casandra/Cocina/LuzEstado/02</v>
      </c>
    </row>
    <row r="61" spans="1:8" x14ac:dyDescent="0.3">
      <c r="A61" s="179" t="s">
        <v>53</v>
      </c>
      <c r="B61" s="29" t="s">
        <v>251</v>
      </c>
      <c r="C61" s="29" t="s">
        <v>273</v>
      </c>
      <c r="D61" s="180" t="s">
        <v>279</v>
      </c>
      <c r="E61" s="29" t="s">
        <v>275</v>
      </c>
      <c r="F61" s="25" t="s">
        <v>276</v>
      </c>
      <c r="G61" s="29" t="s">
        <v>277</v>
      </c>
      <c r="H61" s="181" t="str">
        <f t="shared" si="4"/>
        <v>Casandra/Cocina/LuzEstado/03</v>
      </c>
    </row>
    <row r="62" spans="1:8" x14ac:dyDescent="0.3">
      <c r="A62" s="179" t="s">
        <v>53</v>
      </c>
      <c r="B62" s="29" t="s">
        <v>251</v>
      </c>
      <c r="C62" s="29" t="s">
        <v>273</v>
      </c>
      <c r="D62" s="180" t="s">
        <v>280</v>
      </c>
      <c r="E62" s="29" t="s">
        <v>275</v>
      </c>
      <c r="F62" s="25" t="s">
        <v>276</v>
      </c>
      <c r="G62" s="29" t="s">
        <v>277</v>
      </c>
      <c r="H62" s="181" t="str">
        <f t="shared" si="4"/>
        <v>Casandra/Cocina/LuzEstado/04</v>
      </c>
    </row>
    <row r="63" spans="1:8" x14ac:dyDescent="0.3">
      <c r="A63" s="179" t="s">
        <v>53</v>
      </c>
      <c r="B63" s="29" t="s">
        <v>251</v>
      </c>
      <c r="C63" s="29" t="s">
        <v>273</v>
      </c>
      <c r="D63" s="180" t="s">
        <v>281</v>
      </c>
      <c r="E63" s="29" t="s">
        <v>275</v>
      </c>
      <c r="F63" s="25" t="s">
        <v>276</v>
      </c>
      <c r="G63" s="29" t="s">
        <v>277</v>
      </c>
      <c r="H63" s="181" t="str">
        <f t="shared" si="4"/>
        <v>Casandra/Cocina/LuzEstado/05</v>
      </c>
    </row>
    <row r="64" spans="1:8" x14ac:dyDescent="0.3">
      <c r="A64" s="179" t="s">
        <v>53</v>
      </c>
      <c r="B64" s="29" t="s">
        <v>251</v>
      </c>
      <c r="C64" s="29" t="s">
        <v>273</v>
      </c>
      <c r="D64" s="180" t="s">
        <v>282</v>
      </c>
      <c r="E64" s="29" t="s">
        <v>275</v>
      </c>
      <c r="F64" s="25" t="s">
        <v>276</v>
      </c>
      <c r="G64" s="29" t="s">
        <v>277</v>
      </c>
      <c r="H64" s="181" t="str">
        <f t="shared" si="4"/>
        <v>Casandra/Cocina/LuzEstado/06</v>
      </c>
    </row>
    <row r="65" spans="1:8" x14ac:dyDescent="0.3">
      <c r="A65" s="179" t="s">
        <v>53</v>
      </c>
      <c r="B65" s="29" t="s">
        <v>251</v>
      </c>
      <c r="C65" s="29" t="s">
        <v>273</v>
      </c>
      <c r="D65" s="180" t="s">
        <v>283</v>
      </c>
      <c r="E65" s="29" t="s">
        <v>275</v>
      </c>
      <c r="F65" s="25" t="s">
        <v>276</v>
      </c>
      <c r="G65" s="29" t="s">
        <v>277</v>
      </c>
      <c r="H65" s="181" t="str">
        <f t="shared" si="4"/>
        <v>Casandra/Cocina/LuzEstado/07</v>
      </c>
    </row>
    <row r="66" spans="1:8" x14ac:dyDescent="0.3">
      <c r="A66" s="179" t="s">
        <v>53</v>
      </c>
      <c r="B66" s="29" t="s">
        <v>251</v>
      </c>
      <c r="C66" s="29" t="s">
        <v>273</v>
      </c>
      <c r="D66" s="180" t="s">
        <v>284</v>
      </c>
      <c r="E66" s="29" t="s">
        <v>275</v>
      </c>
      <c r="F66" s="25" t="s">
        <v>276</v>
      </c>
      <c r="G66" s="29" t="s">
        <v>277</v>
      </c>
      <c r="H66" s="181" t="str">
        <f t="shared" si="4"/>
        <v>Casandra/Cocina/LuzEstado/08</v>
      </c>
    </row>
    <row r="67" spans="1:8" x14ac:dyDescent="0.3">
      <c r="A67" s="179" t="s">
        <v>53</v>
      </c>
      <c r="B67" s="29" t="s">
        <v>251</v>
      </c>
      <c r="C67" s="29" t="s">
        <v>273</v>
      </c>
      <c r="D67" s="180" t="s">
        <v>285</v>
      </c>
      <c r="E67" s="29" t="s">
        <v>275</v>
      </c>
      <c r="F67" s="25" t="s">
        <v>276</v>
      </c>
      <c r="G67" s="29" t="s">
        <v>277</v>
      </c>
      <c r="H67" s="181" t="str">
        <f t="shared" si="4"/>
        <v>Casandra/Cocina/LuzEstado/09</v>
      </c>
    </row>
    <row r="68" spans="1:8" x14ac:dyDescent="0.3">
      <c r="A68" s="179" t="s">
        <v>53</v>
      </c>
      <c r="B68" s="29" t="s">
        <v>251</v>
      </c>
      <c r="C68" s="29" t="s">
        <v>273</v>
      </c>
      <c r="D68" s="180" t="s">
        <v>286</v>
      </c>
      <c r="E68" s="29" t="s">
        <v>275</v>
      </c>
      <c r="F68" s="25" t="s">
        <v>276</v>
      </c>
      <c r="G68" s="29" t="s">
        <v>277</v>
      </c>
      <c r="H68" s="181" t="str">
        <f t="shared" si="4"/>
        <v>Casandra/Cocina/LuzEstado/10</v>
      </c>
    </row>
    <row r="69" spans="1:8" x14ac:dyDescent="0.3">
      <c r="A69" s="179" t="s">
        <v>53</v>
      </c>
      <c r="B69" s="29" t="s">
        <v>251</v>
      </c>
      <c r="C69" s="29" t="s">
        <v>273</v>
      </c>
      <c r="D69" s="180" t="s">
        <v>287</v>
      </c>
      <c r="E69" s="29" t="s">
        <v>275</v>
      </c>
      <c r="F69" s="25" t="s">
        <v>276</v>
      </c>
      <c r="G69" s="29" t="s">
        <v>277</v>
      </c>
      <c r="H69" s="181" t="str">
        <f t="shared" si="4"/>
        <v>Casandra/Cocina/LuzEstado/11</v>
      </c>
    </row>
    <row r="70" spans="1:8" x14ac:dyDescent="0.3">
      <c r="A70" s="179" t="s">
        <v>53</v>
      </c>
      <c r="B70" s="29" t="s">
        <v>251</v>
      </c>
      <c r="C70" s="29" t="s">
        <v>273</v>
      </c>
      <c r="D70" s="180" t="s">
        <v>288</v>
      </c>
      <c r="E70" s="29" t="s">
        <v>275</v>
      </c>
      <c r="F70" s="25" t="s">
        <v>276</v>
      </c>
      <c r="G70" s="29" t="s">
        <v>277</v>
      </c>
      <c r="H70" s="181" t="str">
        <f t="shared" si="4"/>
        <v>Casandra/Cocina/LuzEstado/12</v>
      </c>
    </row>
    <row r="71" spans="1:8" x14ac:dyDescent="0.3">
      <c r="A71" s="179" t="s">
        <v>53</v>
      </c>
      <c r="B71" s="29" t="s">
        <v>251</v>
      </c>
      <c r="C71" s="29" t="s">
        <v>273</v>
      </c>
      <c r="D71" s="180" t="s">
        <v>289</v>
      </c>
      <c r="E71" s="29" t="s">
        <v>275</v>
      </c>
      <c r="F71" s="25" t="s">
        <v>276</v>
      </c>
      <c r="G71" s="29" t="s">
        <v>277</v>
      </c>
      <c r="H71" s="181" t="str">
        <f t="shared" si="4"/>
        <v>Casandra/Cocina/LuzEstado/13</v>
      </c>
    </row>
    <row r="72" spans="1:8" x14ac:dyDescent="0.3">
      <c r="A72" s="179" t="s">
        <v>53</v>
      </c>
      <c r="B72" s="29" t="s">
        <v>251</v>
      </c>
      <c r="C72" s="29" t="s">
        <v>273</v>
      </c>
      <c r="D72" s="180" t="s">
        <v>290</v>
      </c>
      <c r="E72" s="29" t="s">
        <v>275</v>
      </c>
      <c r="F72" s="25" t="s">
        <v>276</v>
      </c>
      <c r="G72" s="29" t="s">
        <v>277</v>
      </c>
      <c r="H72" s="181" t="str">
        <f t="shared" si="4"/>
        <v>Casandra/Cocina/LuzEstado/14</v>
      </c>
    </row>
    <row r="73" spans="1:8" x14ac:dyDescent="0.3">
      <c r="A73" s="179" t="s">
        <v>53</v>
      </c>
      <c r="B73" s="29" t="s">
        <v>251</v>
      </c>
      <c r="C73" s="29" t="s">
        <v>273</v>
      </c>
      <c r="D73" s="180" t="s">
        <v>291</v>
      </c>
      <c r="E73" s="29" t="s">
        <v>275</v>
      </c>
      <c r="F73" s="25" t="s">
        <v>276</v>
      </c>
      <c r="G73" s="29" t="s">
        <v>277</v>
      </c>
      <c r="H73" s="181" t="str">
        <f t="shared" si="4"/>
        <v>Casandra/Cocina/LuzEstado/15</v>
      </c>
    </row>
    <row r="74" spans="1:8" x14ac:dyDescent="0.3">
      <c r="A74" s="179" t="s">
        <v>53</v>
      </c>
      <c r="B74" s="29" t="s">
        <v>251</v>
      </c>
      <c r="C74" s="29" t="s">
        <v>273</v>
      </c>
      <c r="D74" s="180" t="s">
        <v>292</v>
      </c>
      <c r="E74" s="29" t="s">
        <v>275</v>
      </c>
      <c r="F74" s="25" t="s">
        <v>276</v>
      </c>
      <c r="G74" s="29" t="s">
        <v>277</v>
      </c>
      <c r="H74" s="181" t="str">
        <f t="shared" si="4"/>
        <v>Casandra/Cocina/LuzEstado/16</v>
      </c>
    </row>
    <row r="75" spans="1:8" x14ac:dyDescent="0.3">
      <c r="A75" s="179" t="s">
        <v>53</v>
      </c>
      <c r="B75" s="29" t="s">
        <v>251</v>
      </c>
      <c r="C75" s="29" t="s">
        <v>273</v>
      </c>
      <c r="D75" s="180" t="s">
        <v>293</v>
      </c>
      <c r="E75" s="29" t="s">
        <v>275</v>
      </c>
      <c r="F75" s="25" t="s">
        <v>276</v>
      </c>
      <c r="G75" s="29" t="s">
        <v>277</v>
      </c>
      <c r="H75" s="181" t="str">
        <f t="shared" si="4"/>
        <v>Casandra/Cocina/LuzEstado/17</v>
      </c>
    </row>
    <row r="76" spans="1:8" x14ac:dyDescent="0.3">
      <c r="A76" s="179" t="s">
        <v>53</v>
      </c>
      <c r="B76" s="29" t="s">
        <v>251</v>
      </c>
      <c r="C76" s="29" t="s">
        <v>273</v>
      </c>
      <c r="D76" s="180" t="s">
        <v>294</v>
      </c>
      <c r="E76" s="29" t="s">
        <v>275</v>
      </c>
      <c r="F76" s="25" t="s">
        <v>276</v>
      </c>
      <c r="G76" s="29" t="s">
        <v>277</v>
      </c>
      <c r="H76" s="181" t="str">
        <f t="shared" si="4"/>
        <v>Casandra/Cocina/LuzEstado/18</v>
      </c>
    </row>
    <row r="77" spans="1:8" x14ac:dyDescent="0.3">
      <c r="A77" s="179" t="s">
        <v>53</v>
      </c>
      <c r="B77" s="29" t="s">
        <v>251</v>
      </c>
      <c r="C77" s="29" t="s">
        <v>273</v>
      </c>
      <c r="D77" s="180" t="s">
        <v>295</v>
      </c>
      <c r="E77" s="29" t="s">
        <v>275</v>
      </c>
      <c r="F77" s="25" t="s">
        <v>276</v>
      </c>
      <c r="G77" s="29" t="s">
        <v>277</v>
      </c>
      <c r="H77" s="181" t="str">
        <f t="shared" si="4"/>
        <v>Casandra/Cocina/LuzEstado/19</v>
      </c>
    </row>
    <row r="78" spans="1:8" x14ac:dyDescent="0.3">
      <c r="A78" s="179" t="s">
        <v>53</v>
      </c>
      <c r="B78" s="29" t="s">
        <v>251</v>
      </c>
      <c r="C78" s="29" t="s">
        <v>273</v>
      </c>
      <c r="D78" s="180" t="s">
        <v>296</v>
      </c>
      <c r="E78" s="29" t="s">
        <v>275</v>
      </c>
      <c r="F78" s="25" t="s">
        <v>276</v>
      </c>
      <c r="G78" s="29" t="s">
        <v>277</v>
      </c>
      <c r="H78" s="181" t="str">
        <f t="shared" si="4"/>
        <v>Casandra/Cocina/LuzEstado/20</v>
      </c>
    </row>
    <row r="79" spans="1:8" x14ac:dyDescent="0.3">
      <c r="A79" s="179" t="s">
        <v>53</v>
      </c>
      <c r="B79" s="29" t="s">
        <v>251</v>
      </c>
      <c r="C79" s="29" t="s">
        <v>273</v>
      </c>
      <c r="D79" s="180" t="s">
        <v>297</v>
      </c>
      <c r="E79" s="29" t="s">
        <v>275</v>
      </c>
      <c r="F79" s="25" t="s">
        <v>276</v>
      </c>
      <c r="G79" s="29" t="s">
        <v>277</v>
      </c>
      <c r="H79" s="181" t="str">
        <f t="shared" si="4"/>
        <v>Casandra/Cocina/LuzEstado/21</v>
      </c>
    </row>
    <row r="80" spans="1:8" x14ac:dyDescent="0.3">
      <c r="A80" s="179" t="s">
        <v>53</v>
      </c>
      <c r="B80" s="29" t="s">
        <v>251</v>
      </c>
      <c r="C80" s="29" t="s">
        <v>273</v>
      </c>
      <c r="D80" s="180" t="s">
        <v>298</v>
      </c>
      <c r="E80" s="29" t="s">
        <v>275</v>
      </c>
      <c r="F80" s="25" t="s">
        <v>276</v>
      </c>
      <c r="G80" s="29" t="s">
        <v>277</v>
      </c>
      <c r="H80" s="181" t="str">
        <f t="shared" si="4"/>
        <v>Casandra/Cocina/LuzEstado/22</v>
      </c>
    </row>
    <row r="81" spans="1:8" x14ac:dyDescent="0.3">
      <c r="A81" s="179" t="s">
        <v>53</v>
      </c>
      <c r="B81" s="29" t="s">
        <v>251</v>
      </c>
      <c r="C81" s="29" t="s">
        <v>273</v>
      </c>
      <c r="D81" s="180" t="s">
        <v>299</v>
      </c>
      <c r="E81" s="29" t="s">
        <v>275</v>
      </c>
      <c r="F81" s="25" t="s">
        <v>276</v>
      </c>
      <c r="G81" s="29" t="s">
        <v>277</v>
      </c>
      <c r="H81" s="181" t="str">
        <f t="shared" si="4"/>
        <v>Casandra/Cocina/LuzEstado/23</v>
      </c>
    </row>
    <row r="82" spans="1:8" x14ac:dyDescent="0.3">
      <c r="A82" s="179" t="s">
        <v>53</v>
      </c>
      <c r="B82" s="29" t="s">
        <v>251</v>
      </c>
      <c r="C82" s="29" t="s">
        <v>273</v>
      </c>
      <c r="D82" s="180" t="s">
        <v>300</v>
      </c>
      <c r="E82" s="29" t="s">
        <v>275</v>
      </c>
      <c r="F82" s="25" t="s">
        <v>276</v>
      </c>
      <c r="G82" s="29" t="s">
        <v>277</v>
      </c>
      <c r="H82" s="181" t="str">
        <f t="shared" si="4"/>
        <v>Casandra/Cocina/LuzEstado/24</v>
      </c>
    </row>
    <row r="83" spans="1:8" x14ac:dyDescent="0.3">
      <c r="A83" s="179" t="s">
        <v>53</v>
      </c>
      <c r="B83" s="29" t="s">
        <v>251</v>
      </c>
      <c r="C83" s="29" t="s">
        <v>273</v>
      </c>
      <c r="D83" s="180" t="s">
        <v>312</v>
      </c>
      <c r="E83" s="29" t="s">
        <v>275</v>
      </c>
      <c r="F83" s="25" t="s">
        <v>276</v>
      </c>
      <c r="G83" s="29" t="s">
        <v>307</v>
      </c>
      <c r="H83" s="181" t="str">
        <f t="shared" si="4"/>
        <v>Casandra/Cocina/LuzEstado/25</v>
      </c>
    </row>
    <row r="84" spans="1:8" x14ac:dyDescent="0.3">
      <c r="A84" s="179" t="s">
        <v>53</v>
      </c>
      <c r="B84" s="29" t="s">
        <v>251</v>
      </c>
      <c r="C84" s="29" t="s">
        <v>273</v>
      </c>
      <c r="D84" s="180" t="s">
        <v>313</v>
      </c>
      <c r="E84" s="29" t="s">
        <v>275</v>
      </c>
      <c r="F84" s="25" t="s">
        <v>276</v>
      </c>
      <c r="G84" s="29" t="s">
        <v>307</v>
      </c>
      <c r="H84" s="181" t="str">
        <f t="shared" si="4"/>
        <v>Casandra/Cocina/LuzEstado/26</v>
      </c>
    </row>
    <row r="85" spans="1:8" x14ac:dyDescent="0.3">
      <c r="A85" s="179" t="s">
        <v>53</v>
      </c>
      <c r="B85" s="29" t="s">
        <v>251</v>
      </c>
      <c r="C85" s="29" t="s">
        <v>301</v>
      </c>
      <c r="D85" s="180" t="s">
        <v>274</v>
      </c>
      <c r="E85" s="29" t="s">
        <v>302</v>
      </c>
      <c r="F85" s="25" t="s">
        <v>303</v>
      </c>
      <c r="G85" s="29" t="s">
        <v>277</v>
      </c>
      <c r="H85" s="181" t="str">
        <f t="shared" si="4"/>
        <v>Casandra/Cocina/LuzIntensidad/01</v>
      </c>
    </row>
    <row r="86" spans="1:8" x14ac:dyDescent="0.3">
      <c r="A86" s="179" t="s">
        <v>53</v>
      </c>
      <c r="B86" s="29" t="s">
        <v>251</v>
      </c>
      <c r="C86" s="29" t="s">
        <v>301</v>
      </c>
      <c r="D86" s="180" t="s">
        <v>278</v>
      </c>
      <c r="E86" s="29" t="s">
        <v>302</v>
      </c>
      <c r="F86" s="25" t="s">
        <v>303</v>
      </c>
      <c r="G86" s="29" t="s">
        <v>277</v>
      </c>
      <c r="H86" s="181" t="str">
        <f t="shared" si="4"/>
        <v>Casandra/Cocina/LuzIntensidad/02</v>
      </c>
    </row>
    <row r="87" spans="1:8" x14ac:dyDescent="0.3">
      <c r="A87" s="179" t="s">
        <v>53</v>
      </c>
      <c r="B87" s="29" t="s">
        <v>251</v>
      </c>
      <c r="C87" s="29" t="s">
        <v>301</v>
      </c>
      <c r="D87" s="180" t="s">
        <v>279</v>
      </c>
      <c r="E87" s="29" t="s">
        <v>302</v>
      </c>
      <c r="F87" s="25" t="s">
        <v>303</v>
      </c>
      <c r="G87" s="29" t="s">
        <v>277</v>
      </c>
      <c r="H87" s="181" t="str">
        <f t="shared" si="4"/>
        <v>Casandra/Cocina/LuzIntensidad/03</v>
      </c>
    </row>
    <row r="88" spans="1:8" x14ac:dyDescent="0.3">
      <c r="A88" s="179" t="s">
        <v>53</v>
      </c>
      <c r="B88" s="29" t="s">
        <v>251</v>
      </c>
      <c r="C88" s="29" t="s">
        <v>301</v>
      </c>
      <c r="D88" s="180" t="s">
        <v>280</v>
      </c>
      <c r="E88" s="29" t="s">
        <v>302</v>
      </c>
      <c r="F88" s="25" t="s">
        <v>303</v>
      </c>
      <c r="G88" s="29" t="s">
        <v>277</v>
      </c>
      <c r="H88" s="181" t="str">
        <f t="shared" si="4"/>
        <v>Casandra/Cocina/LuzIntensidad/04</v>
      </c>
    </row>
    <row r="89" spans="1:8" x14ac:dyDescent="0.3">
      <c r="A89" s="179" t="s">
        <v>53</v>
      </c>
      <c r="B89" s="29" t="s">
        <v>251</v>
      </c>
      <c r="C89" s="29" t="s">
        <v>301</v>
      </c>
      <c r="D89" s="180" t="s">
        <v>281</v>
      </c>
      <c r="E89" s="29" t="s">
        <v>302</v>
      </c>
      <c r="F89" s="25" t="s">
        <v>303</v>
      </c>
      <c r="G89" s="29" t="s">
        <v>277</v>
      </c>
      <c r="H89" s="181" t="str">
        <f t="shared" si="4"/>
        <v>Casandra/Cocina/LuzIntensidad/05</v>
      </c>
    </row>
    <row r="90" spans="1:8" x14ac:dyDescent="0.3">
      <c r="A90" s="179" t="s">
        <v>53</v>
      </c>
      <c r="B90" s="29" t="s">
        <v>251</v>
      </c>
      <c r="C90" s="29" t="s">
        <v>301</v>
      </c>
      <c r="D90" s="180" t="s">
        <v>282</v>
      </c>
      <c r="E90" s="29" t="s">
        <v>302</v>
      </c>
      <c r="F90" s="25" t="s">
        <v>303</v>
      </c>
      <c r="G90" s="29" t="s">
        <v>277</v>
      </c>
      <c r="H90" s="181" t="str">
        <f t="shared" si="4"/>
        <v>Casandra/Cocina/LuzIntensidad/06</v>
      </c>
    </row>
    <row r="91" spans="1:8" x14ac:dyDescent="0.3">
      <c r="A91" s="179" t="s">
        <v>53</v>
      </c>
      <c r="B91" s="29" t="s">
        <v>251</v>
      </c>
      <c r="C91" s="29" t="s">
        <v>301</v>
      </c>
      <c r="D91" s="180" t="s">
        <v>283</v>
      </c>
      <c r="E91" s="29" t="s">
        <v>302</v>
      </c>
      <c r="F91" s="25" t="s">
        <v>303</v>
      </c>
      <c r="G91" s="29" t="s">
        <v>277</v>
      </c>
      <c r="H91" s="181" t="str">
        <f t="shared" si="4"/>
        <v>Casandra/Cocina/LuzIntensidad/07</v>
      </c>
    </row>
    <row r="92" spans="1:8" x14ac:dyDescent="0.3">
      <c r="A92" s="179" t="s">
        <v>53</v>
      </c>
      <c r="B92" s="29" t="s">
        <v>251</v>
      </c>
      <c r="C92" s="29" t="s">
        <v>301</v>
      </c>
      <c r="D92" s="180" t="s">
        <v>284</v>
      </c>
      <c r="E92" s="29" t="s">
        <v>302</v>
      </c>
      <c r="F92" s="25" t="s">
        <v>303</v>
      </c>
      <c r="G92" s="29" t="s">
        <v>277</v>
      </c>
      <c r="H92" s="181" t="str">
        <f t="shared" si="4"/>
        <v>Casandra/Cocina/LuzIntensidad/08</v>
      </c>
    </row>
    <row r="93" spans="1:8" x14ac:dyDescent="0.3">
      <c r="A93" s="179" t="s">
        <v>53</v>
      </c>
      <c r="B93" s="29" t="s">
        <v>251</v>
      </c>
      <c r="C93" s="29" t="s">
        <v>301</v>
      </c>
      <c r="D93" s="180" t="s">
        <v>285</v>
      </c>
      <c r="E93" s="29" t="s">
        <v>302</v>
      </c>
      <c r="F93" s="25" t="s">
        <v>303</v>
      </c>
      <c r="G93" s="29" t="s">
        <v>277</v>
      </c>
      <c r="H93" s="181" t="str">
        <f t="shared" si="4"/>
        <v>Casandra/Cocina/LuzIntensidad/09</v>
      </c>
    </row>
    <row r="94" spans="1:8" x14ac:dyDescent="0.3">
      <c r="A94" s="179" t="s">
        <v>53</v>
      </c>
      <c r="B94" s="29" t="s">
        <v>251</v>
      </c>
      <c r="C94" s="29" t="s">
        <v>301</v>
      </c>
      <c r="D94" s="180" t="s">
        <v>286</v>
      </c>
      <c r="E94" s="29" t="s">
        <v>302</v>
      </c>
      <c r="F94" s="25" t="s">
        <v>303</v>
      </c>
      <c r="G94" s="29" t="s">
        <v>277</v>
      </c>
      <c r="H94" s="181" t="str">
        <f t="shared" si="4"/>
        <v>Casandra/Cocina/LuzIntensidad/10</v>
      </c>
    </row>
    <row r="95" spans="1:8" x14ac:dyDescent="0.3">
      <c r="A95" s="179" t="s">
        <v>53</v>
      </c>
      <c r="B95" s="29" t="s">
        <v>251</v>
      </c>
      <c r="C95" s="29" t="s">
        <v>301</v>
      </c>
      <c r="D95" s="180" t="s">
        <v>287</v>
      </c>
      <c r="E95" s="29" t="s">
        <v>302</v>
      </c>
      <c r="F95" s="25" t="s">
        <v>303</v>
      </c>
      <c r="G95" s="29" t="s">
        <v>277</v>
      </c>
      <c r="H95" s="181" t="str">
        <f t="shared" si="4"/>
        <v>Casandra/Cocina/LuzIntensidad/11</v>
      </c>
    </row>
    <row r="96" spans="1:8" x14ac:dyDescent="0.3">
      <c r="A96" s="179" t="s">
        <v>53</v>
      </c>
      <c r="B96" s="29" t="s">
        <v>251</v>
      </c>
      <c r="C96" s="29" t="s">
        <v>301</v>
      </c>
      <c r="D96" s="180" t="s">
        <v>288</v>
      </c>
      <c r="E96" s="29" t="s">
        <v>302</v>
      </c>
      <c r="F96" s="25" t="s">
        <v>303</v>
      </c>
      <c r="G96" s="29" t="s">
        <v>277</v>
      </c>
      <c r="H96" s="181" t="str">
        <f t="shared" si="4"/>
        <v>Casandra/Cocina/LuzIntensidad/12</v>
      </c>
    </row>
    <row r="97" spans="1:8" x14ac:dyDescent="0.3">
      <c r="A97" s="179" t="s">
        <v>53</v>
      </c>
      <c r="B97" s="29" t="s">
        <v>251</v>
      </c>
      <c r="C97" s="29" t="s">
        <v>301</v>
      </c>
      <c r="D97" s="180" t="s">
        <v>289</v>
      </c>
      <c r="E97" s="29" t="s">
        <v>302</v>
      </c>
      <c r="F97" s="25" t="s">
        <v>303</v>
      </c>
      <c r="G97" s="29" t="s">
        <v>277</v>
      </c>
      <c r="H97" s="181" t="str">
        <f t="shared" si="4"/>
        <v>Casandra/Cocina/LuzIntensidad/13</v>
      </c>
    </row>
    <row r="98" spans="1:8" x14ac:dyDescent="0.3">
      <c r="A98" s="179" t="s">
        <v>53</v>
      </c>
      <c r="B98" s="29" t="s">
        <v>251</v>
      </c>
      <c r="C98" s="29" t="s">
        <v>301</v>
      </c>
      <c r="D98" s="180" t="s">
        <v>290</v>
      </c>
      <c r="E98" s="29" t="s">
        <v>302</v>
      </c>
      <c r="F98" s="25" t="s">
        <v>303</v>
      </c>
      <c r="G98" s="29" t="s">
        <v>277</v>
      </c>
      <c r="H98" s="181" t="str">
        <f t="shared" si="4"/>
        <v>Casandra/Cocina/LuzIntensidad/14</v>
      </c>
    </row>
    <row r="99" spans="1:8" x14ac:dyDescent="0.3">
      <c r="A99" s="179" t="s">
        <v>53</v>
      </c>
      <c r="B99" s="29" t="s">
        <v>251</v>
      </c>
      <c r="C99" s="29" t="s">
        <v>301</v>
      </c>
      <c r="D99" s="180" t="s">
        <v>291</v>
      </c>
      <c r="E99" s="29" t="s">
        <v>302</v>
      </c>
      <c r="F99" s="25" t="s">
        <v>303</v>
      </c>
      <c r="G99" s="29" t="s">
        <v>277</v>
      </c>
      <c r="H99" s="181" t="str">
        <f t="shared" si="4"/>
        <v>Casandra/Cocina/LuzIntensidad/15</v>
      </c>
    </row>
    <row r="100" spans="1:8" x14ac:dyDescent="0.3">
      <c r="A100" s="179" t="s">
        <v>53</v>
      </c>
      <c r="B100" s="29" t="s">
        <v>251</v>
      </c>
      <c r="C100" s="29" t="s">
        <v>301</v>
      </c>
      <c r="D100" s="180" t="s">
        <v>292</v>
      </c>
      <c r="E100" s="29" t="s">
        <v>302</v>
      </c>
      <c r="F100" s="25" t="s">
        <v>303</v>
      </c>
      <c r="G100" s="29" t="s">
        <v>277</v>
      </c>
      <c r="H100" s="181" t="str">
        <f t="shared" si="4"/>
        <v>Casandra/Cocina/LuzIntensidad/16</v>
      </c>
    </row>
    <row r="101" spans="1:8" x14ac:dyDescent="0.3">
      <c r="A101" s="179" t="s">
        <v>53</v>
      </c>
      <c r="B101" s="29" t="s">
        <v>251</v>
      </c>
      <c r="C101" s="29" t="s">
        <v>301</v>
      </c>
      <c r="D101" s="180" t="s">
        <v>293</v>
      </c>
      <c r="E101" s="29" t="s">
        <v>302</v>
      </c>
      <c r="F101" s="25" t="s">
        <v>303</v>
      </c>
      <c r="G101" s="29" t="s">
        <v>277</v>
      </c>
      <c r="H101" s="181" t="str">
        <f t="shared" si="4"/>
        <v>Casandra/Cocina/LuzIntensidad/17</v>
      </c>
    </row>
    <row r="102" spans="1:8" x14ac:dyDescent="0.3">
      <c r="A102" s="179" t="s">
        <v>53</v>
      </c>
      <c r="B102" s="29" t="s">
        <v>251</v>
      </c>
      <c r="C102" s="29" t="s">
        <v>301</v>
      </c>
      <c r="D102" s="180" t="s">
        <v>294</v>
      </c>
      <c r="E102" s="29" t="s">
        <v>302</v>
      </c>
      <c r="F102" s="25" t="s">
        <v>303</v>
      </c>
      <c r="G102" s="29" t="s">
        <v>277</v>
      </c>
      <c r="H102" s="181" t="str">
        <f t="shared" si="4"/>
        <v>Casandra/Cocina/LuzIntensidad/18</v>
      </c>
    </row>
    <row r="103" spans="1:8" x14ac:dyDescent="0.3">
      <c r="A103" s="179" t="s">
        <v>53</v>
      </c>
      <c r="B103" s="29" t="s">
        <v>251</v>
      </c>
      <c r="C103" s="29" t="s">
        <v>301</v>
      </c>
      <c r="D103" s="180" t="s">
        <v>295</v>
      </c>
      <c r="E103" s="29" t="s">
        <v>302</v>
      </c>
      <c r="F103" s="25" t="s">
        <v>303</v>
      </c>
      <c r="G103" s="29" t="s">
        <v>277</v>
      </c>
      <c r="H103" s="181" t="str">
        <f t="shared" si="4"/>
        <v>Casandra/Cocina/LuzIntensidad/19</v>
      </c>
    </row>
    <row r="104" spans="1:8" x14ac:dyDescent="0.3">
      <c r="A104" s="179" t="s">
        <v>53</v>
      </c>
      <c r="B104" s="29" t="s">
        <v>251</v>
      </c>
      <c r="C104" s="29" t="s">
        <v>301</v>
      </c>
      <c r="D104" s="180" t="s">
        <v>296</v>
      </c>
      <c r="E104" s="29" t="s">
        <v>302</v>
      </c>
      <c r="F104" s="25" t="s">
        <v>303</v>
      </c>
      <c r="G104" s="29" t="s">
        <v>277</v>
      </c>
      <c r="H104" s="181" t="str">
        <f t="shared" si="4"/>
        <v>Casandra/Cocina/LuzIntensidad/20</v>
      </c>
    </row>
    <row r="105" spans="1:8" x14ac:dyDescent="0.3">
      <c r="A105" s="179" t="s">
        <v>53</v>
      </c>
      <c r="B105" s="29" t="s">
        <v>251</v>
      </c>
      <c r="C105" s="29" t="s">
        <v>301</v>
      </c>
      <c r="D105" s="180" t="s">
        <v>297</v>
      </c>
      <c r="E105" s="29" t="s">
        <v>302</v>
      </c>
      <c r="F105" s="25" t="s">
        <v>303</v>
      </c>
      <c r="G105" s="29" t="s">
        <v>277</v>
      </c>
      <c r="H105" s="181" t="str">
        <f t="shared" si="4"/>
        <v>Casandra/Cocina/LuzIntensidad/21</v>
      </c>
    </row>
    <row r="106" spans="1:8" x14ac:dyDescent="0.3">
      <c r="A106" s="179" t="s">
        <v>53</v>
      </c>
      <c r="B106" s="29" t="s">
        <v>251</v>
      </c>
      <c r="C106" s="29" t="s">
        <v>301</v>
      </c>
      <c r="D106" s="180" t="s">
        <v>298</v>
      </c>
      <c r="E106" s="29" t="s">
        <v>302</v>
      </c>
      <c r="F106" s="25" t="s">
        <v>303</v>
      </c>
      <c r="G106" s="29" t="s">
        <v>277</v>
      </c>
      <c r="H106" s="181" t="str">
        <f t="shared" si="4"/>
        <v>Casandra/Cocina/LuzIntensidad/22</v>
      </c>
    </row>
    <row r="107" spans="1:8" x14ac:dyDescent="0.3">
      <c r="A107" s="179" t="s">
        <v>53</v>
      </c>
      <c r="B107" s="29" t="s">
        <v>251</v>
      </c>
      <c r="C107" s="29" t="s">
        <v>301</v>
      </c>
      <c r="D107" s="180" t="s">
        <v>299</v>
      </c>
      <c r="E107" s="29" t="s">
        <v>302</v>
      </c>
      <c r="F107" s="25" t="s">
        <v>303</v>
      </c>
      <c r="G107" s="29" t="s">
        <v>277</v>
      </c>
      <c r="H107" s="181" t="str">
        <f t="shared" si="4"/>
        <v>Casandra/Cocina/LuzIntensidad/23</v>
      </c>
    </row>
    <row r="108" spans="1:8" x14ac:dyDescent="0.3">
      <c r="A108" s="179" t="s">
        <v>53</v>
      </c>
      <c r="B108" s="29" t="s">
        <v>251</v>
      </c>
      <c r="C108" s="29" t="s">
        <v>301</v>
      </c>
      <c r="D108" s="180" t="s">
        <v>300</v>
      </c>
      <c r="E108" s="29" t="s">
        <v>302</v>
      </c>
      <c r="F108" s="25" t="s">
        <v>303</v>
      </c>
      <c r="G108" s="29" t="s">
        <v>277</v>
      </c>
      <c r="H108" s="181" t="str">
        <f t="shared" si="4"/>
        <v>Casandra/Cocina/LuzIntensidad/24</v>
      </c>
    </row>
    <row r="109" spans="1:8" x14ac:dyDescent="0.3">
      <c r="A109" s="179" t="s">
        <v>53</v>
      </c>
      <c r="B109" s="29" t="s">
        <v>251</v>
      </c>
      <c r="C109" s="29" t="s">
        <v>304</v>
      </c>
      <c r="D109" s="180" t="s">
        <v>274</v>
      </c>
      <c r="E109" s="29" t="s">
        <v>305</v>
      </c>
      <c r="F109" s="25" t="s">
        <v>306</v>
      </c>
      <c r="G109" s="29" t="s">
        <v>307</v>
      </c>
      <c r="H109" s="181" t="str">
        <f t="shared" ref="H109:H121" si="5">CONCATENATE(A109,"/",B109,"/",C109,"/",D109,)</f>
        <v>Casandra/Cocina/Temperatura/01</v>
      </c>
    </row>
    <row r="110" spans="1:8" x14ac:dyDescent="0.3">
      <c r="A110" s="179" t="s">
        <v>53</v>
      </c>
      <c r="B110" s="29" t="s">
        <v>251</v>
      </c>
      <c r="C110" s="29" t="s">
        <v>304</v>
      </c>
      <c r="D110" s="180" t="s">
        <v>278</v>
      </c>
      <c r="E110" s="29" t="s">
        <v>305</v>
      </c>
      <c r="F110" s="25" t="s">
        <v>306</v>
      </c>
      <c r="G110" s="29" t="s">
        <v>307</v>
      </c>
      <c r="H110" s="181" t="str">
        <f t="shared" si="5"/>
        <v>Casandra/Cocina/Temperatura/02</v>
      </c>
    </row>
    <row r="111" spans="1:8" x14ac:dyDescent="0.3">
      <c r="A111" s="179" t="s">
        <v>53</v>
      </c>
      <c r="B111" s="29" t="s">
        <v>251</v>
      </c>
      <c r="C111" s="29" t="s">
        <v>308</v>
      </c>
      <c r="D111" s="180" t="s">
        <v>274</v>
      </c>
      <c r="E111" s="29" t="s">
        <v>305</v>
      </c>
      <c r="F111" s="25" t="s">
        <v>309</v>
      </c>
      <c r="G111" s="29" t="s">
        <v>307</v>
      </c>
      <c r="H111" s="181" t="str">
        <f t="shared" si="5"/>
        <v>Casandra/Cocina/Humedad/01</v>
      </c>
    </row>
    <row r="112" spans="1:8" x14ac:dyDescent="0.3">
      <c r="A112" s="179" t="s">
        <v>53</v>
      </c>
      <c r="B112" s="29" t="s">
        <v>251</v>
      </c>
      <c r="C112" s="29" t="s">
        <v>308</v>
      </c>
      <c r="D112" s="180" t="s">
        <v>278</v>
      </c>
      <c r="E112" s="29" t="s">
        <v>305</v>
      </c>
      <c r="F112" s="25" t="s">
        <v>309</v>
      </c>
      <c r="G112" s="29" t="s">
        <v>307</v>
      </c>
      <c r="H112" s="181" t="str">
        <f t="shared" si="5"/>
        <v>Casandra/Cocina/Humedad/02</v>
      </c>
    </row>
    <row r="113" spans="1:8" x14ac:dyDescent="0.3">
      <c r="A113" s="179" t="s">
        <v>53</v>
      </c>
      <c r="B113" s="29" t="s">
        <v>251</v>
      </c>
      <c r="C113" s="29" t="s">
        <v>310</v>
      </c>
      <c r="D113" s="180" t="s">
        <v>274</v>
      </c>
      <c r="E113" s="29" t="s">
        <v>275</v>
      </c>
      <c r="F113" s="25" t="s">
        <v>311</v>
      </c>
      <c r="G113" s="29" t="s">
        <v>307</v>
      </c>
      <c r="H113" s="181" t="str">
        <f t="shared" si="5"/>
        <v>Casandra/Cocina/SensorMov/01</v>
      </c>
    </row>
    <row r="114" spans="1:8" x14ac:dyDescent="0.3">
      <c r="A114" s="179" t="s">
        <v>53</v>
      </c>
      <c r="B114" s="29" t="s">
        <v>251</v>
      </c>
      <c r="C114" s="29" t="s">
        <v>310</v>
      </c>
      <c r="D114" s="180" t="s">
        <v>278</v>
      </c>
      <c r="E114" s="29" t="s">
        <v>275</v>
      </c>
      <c r="F114" s="25" t="s">
        <v>311</v>
      </c>
      <c r="G114" s="29" t="s">
        <v>307</v>
      </c>
      <c r="H114" s="181" t="str">
        <f t="shared" si="5"/>
        <v>Casandra/Cocina/SensorMov/02</v>
      </c>
    </row>
    <row r="115" spans="1:8" x14ac:dyDescent="0.3">
      <c r="A115" s="179" t="s">
        <v>53</v>
      </c>
      <c r="B115" s="29" t="s">
        <v>251</v>
      </c>
      <c r="C115" s="29" t="s">
        <v>310</v>
      </c>
      <c r="D115" s="180" t="s">
        <v>279</v>
      </c>
      <c r="E115" s="29" t="s">
        <v>275</v>
      </c>
      <c r="F115" s="25" t="s">
        <v>311</v>
      </c>
      <c r="G115" s="29" t="s">
        <v>307</v>
      </c>
      <c r="H115" s="181" t="str">
        <f t="shared" si="5"/>
        <v>Casandra/Cocina/SensorMov/03</v>
      </c>
    </row>
    <row r="116" spans="1:8" x14ac:dyDescent="0.3">
      <c r="A116" s="179" t="s">
        <v>53</v>
      </c>
      <c r="B116" s="29" t="s">
        <v>251</v>
      </c>
      <c r="C116" s="29" t="s">
        <v>310</v>
      </c>
      <c r="D116" s="180" t="s">
        <v>280</v>
      </c>
      <c r="E116" s="29" t="s">
        <v>275</v>
      </c>
      <c r="F116" s="25" t="s">
        <v>311</v>
      </c>
      <c r="G116" s="29" t="s">
        <v>307</v>
      </c>
      <c r="H116" s="181" t="str">
        <f t="shared" si="5"/>
        <v>Casandra/Cocina/SensorMov/04</v>
      </c>
    </row>
    <row r="117" spans="1:8" x14ac:dyDescent="0.3">
      <c r="A117" s="179" t="s">
        <v>53</v>
      </c>
      <c r="B117" s="29" t="s">
        <v>251</v>
      </c>
      <c r="C117" s="29" t="s">
        <v>310</v>
      </c>
      <c r="D117" s="180" t="s">
        <v>281</v>
      </c>
      <c r="E117" s="29" t="s">
        <v>275</v>
      </c>
      <c r="F117" s="25" t="s">
        <v>311</v>
      </c>
      <c r="G117" s="29" t="s">
        <v>307</v>
      </c>
      <c r="H117" s="181" t="str">
        <f t="shared" si="5"/>
        <v>Casandra/Cocina/SensorMov/05</v>
      </c>
    </row>
    <row r="118" spans="1:8" x14ac:dyDescent="0.3">
      <c r="A118" s="179" t="s">
        <v>53</v>
      </c>
      <c r="B118" s="29" t="s">
        <v>251</v>
      </c>
      <c r="C118" s="29" t="s">
        <v>310</v>
      </c>
      <c r="D118" s="180" t="s">
        <v>282</v>
      </c>
      <c r="E118" s="29" t="s">
        <v>275</v>
      </c>
      <c r="F118" s="25" t="s">
        <v>311</v>
      </c>
      <c r="G118" s="29" t="s">
        <v>307</v>
      </c>
      <c r="H118" s="181" t="str">
        <f t="shared" si="5"/>
        <v>Casandra/Cocina/SensorMov/06</v>
      </c>
    </row>
    <row r="119" spans="1:8" x14ac:dyDescent="0.3">
      <c r="A119" s="179" t="s">
        <v>53</v>
      </c>
      <c r="B119" s="29" t="s">
        <v>251</v>
      </c>
      <c r="C119" s="29" t="s">
        <v>248</v>
      </c>
      <c r="D119" s="180"/>
      <c r="E119" s="29" t="s">
        <v>479</v>
      </c>
      <c r="F119" s="25" t="s">
        <v>464</v>
      </c>
      <c r="G119" s="29" t="s">
        <v>307</v>
      </c>
      <c r="H119" s="181" t="str">
        <f>CONCATENATE(A119,"/",B119,"/",C119,)</f>
        <v>Casandra/Cocina/Mosquito</v>
      </c>
    </row>
    <row r="120" spans="1:8" thickBot="1" x14ac:dyDescent="0.3">
      <c r="A120" s="179" t="s">
        <v>53</v>
      </c>
      <c r="B120" s="29" t="s">
        <v>251</v>
      </c>
      <c r="C120" s="29" t="s">
        <v>421</v>
      </c>
      <c r="D120" s="180" t="s">
        <v>422</v>
      </c>
      <c r="E120" s="29" t="s">
        <v>431</v>
      </c>
      <c r="F120" s="25" t="s">
        <v>423</v>
      </c>
      <c r="G120" s="29" t="s">
        <v>277</v>
      </c>
      <c r="H120" s="181" t="str">
        <f t="shared" si="5"/>
        <v>Casandra/Cocina/Modulo/1</v>
      </c>
    </row>
    <row r="121" spans="1:8" ht="15" x14ac:dyDescent="0.35">
      <c r="A121" s="179" t="s">
        <v>53</v>
      </c>
      <c r="B121" s="29" t="s">
        <v>251</v>
      </c>
      <c r="C121" s="29" t="s">
        <v>421</v>
      </c>
      <c r="D121" s="180" t="s">
        <v>424</v>
      </c>
      <c r="E121" s="29" t="s">
        <v>431</v>
      </c>
      <c r="F121" s="25" t="s">
        <v>423</v>
      </c>
      <c r="G121" s="29" t="s">
        <v>277</v>
      </c>
      <c r="H121" s="181" t="str">
        <f t="shared" si="5"/>
        <v>Casandra/Cocina/Modulo/2</v>
      </c>
    </row>
    <row r="122" spans="1:8" x14ac:dyDescent="0.3">
      <c r="A122" s="174" t="s">
        <v>53</v>
      </c>
      <c r="B122" s="175" t="s">
        <v>250</v>
      </c>
      <c r="C122" s="175" t="s">
        <v>273</v>
      </c>
      <c r="D122" s="176" t="s">
        <v>274</v>
      </c>
      <c r="E122" s="175" t="s">
        <v>275</v>
      </c>
      <c r="F122" s="177" t="s">
        <v>276</v>
      </c>
      <c r="G122" s="175" t="s">
        <v>277</v>
      </c>
      <c r="H122" s="178" t="str">
        <f>CONCATENATE(A122,"/",B122,"/",C122,"/",D122)</f>
        <v>Casandra/Galeria/LuzEstado/01</v>
      </c>
    </row>
    <row r="123" spans="1:8" x14ac:dyDescent="0.3">
      <c r="A123" s="179" t="s">
        <v>53</v>
      </c>
      <c r="B123" s="29" t="s">
        <v>250</v>
      </c>
      <c r="C123" s="29" t="s">
        <v>273</v>
      </c>
      <c r="D123" s="180" t="s">
        <v>278</v>
      </c>
      <c r="E123" s="29" t="s">
        <v>275</v>
      </c>
      <c r="F123" s="25" t="s">
        <v>276</v>
      </c>
      <c r="G123" s="29" t="s">
        <v>277</v>
      </c>
      <c r="H123" s="181" t="str">
        <f t="shared" ref="H123:H145" si="6">CONCATENATE(A123,"/",B123,"/",C123,"/",D123)</f>
        <v>Casandra/Galeria/LuzEstado/02</v>
      </c>
    </row>
    <row r="124" spans="1:8" x14ac:dyDescent="0.3">
      <c r="A124" s="179" t="s">
        <v>53</v>
      </c>
      <c r="B124" s="29" t="s">
        <v>250</v>
      </c>
      <c r="C124" s="29" t="s">
        <v>273</v>
      </c>
      <c r="D124" s="180" t="s">
        <v>279</v>
      </c>
      <c r="E124" s="29" t="s">
        <v>275</v>
      </c>
      <c r="F124" s="25" t="s">
        <v>276</v>
      </c>
      <c r="G124" s="29" t="s">
        <v>277</v>
      </c>
      <c r="H124" s="181" t="str">
        <f t="shared" si="6"/>
        <v>Casandra/Galeria/LuzEstado/03</v>
      </c>
    </row>
    <row r="125" spans="1:8" x14ac:dyDescent="0.3">
      <c r="A125" s="179" t="s">
        <v>53</v>
      </c>
      <c r="B125" s="29" t="s">
        <v>250</v>
      </c>
      <c r="C125" s="29" t="s">
        <v>273</v>
      </c>
      <c r="D125" s="180" t="s">
        <v>280</v>
      </c>
      <c r="E125" s="29" t="s">
        <v>275</v>
      </c>
      <c r="F125" s="25" t="s">
        <v>276</v>
      </c>
      <c r="G125" s="29" t="s">
        <v>277</v>
      </c>
      <c r="H125" s="181" t="str">
        <f t="shared" si="6"/>
        <v>Casandra/Galeria/LuzEstado/04</v>
      </c>
    </row>
    <row r="126" spans="1:8" x14ac:dyDescent="0.3">
      <c r="A126" s="179" t="s">
        <v>53</v>
      </c>
      <c r="B126" s="29" t="s">
        <v>250</v>
      </c>
      <c r="C126" s="29" t="s">
        <v>273</v>
      </c>
      <c r="D126" s="180" t="s">
        <v>281</v>
      </c>
      <c r="E126" s="29" t="s">
        <v>275</v>
      </c>
      <c r="F126" s="25" t="s">
        <v>276</v>
      </c>
      <c r="G126" s="29" t="s">
        <v>277</v>
      </c>
      <c r="H126" s="181" t="str">
        <f t="shared" si="6"/>
        <v>Casandra/Galeria/LuzEstado/05</v>
      </c>
    </row>
    <row r="127" spans="1:8" x14ac:dyDescent="0.3">
      <c r="A127" s="179" t="s">
        <v>53</v>
      </c>
      <c r="B127" s="29" t="s">
        <v>250</v>
      </c>
      <c r="C127" s="29" t="s">
        <v>273</v>
      </c>
      <c r="D127" s="180" t="s">
        <v>282</v>
      </c>
      <c r="E127" s="29" t="s">
        <v>275</v>
      </c>
      <c r="F127" s="25" t="s">
        <v>276</v>
      </c>
      <c r="G127" s="29" t="s">
        <v>277</v>
      </c>
      <c r="H127" s="181" t="str">
        <f t="shared" si="6"/>
        <v>Casandra/Galeria/LuzEstado/06</v>
      </c>
    </row>
    <row r="128" spans="1:8" x14ac:dyDescent="0.3">
      <c r="A128" s="179" t="s">
        <v>53</v>
      </c>
      <c r="B128" s="29" t="s">
        <v>250</v>
      </c>
      <c r="C128" s="29" t="s">
        <v>273</v>
      </c>
      <c r="D128" s="180" t="s">
        <v>283</v>
      </c>
      <c r="E128" s="29" t="s">
        <v>275</v>
      </c>
      <c r="F128" s="25" t="s">
        <v>276</v>
      </c>
      <c r="G128" s="29" t="s">
        <v>277</v>
      </c>
      <c r="H128" s="181" t="str">
        <f t="shared" si="6"/>
        <v>Casandra/Galeria/LuzEstado/07</v>
      </c>
    </row>
    <row r="129" spans="1:8" x14ac:dyDescent="0.3">
      <c r="A129" s="179" t="s">
        <v>53</v>
      </c>
      <c r="B129" s="29" t="s">
        <v>250</v>
      </c>
      <c r="C129" s="29" t="s">
        <v>273</v>
      </c>
      <c r="D129" s="180" t="s">
        <v>284</v>
      </c>
      <c r="E129" s="29" t="s">
        <v>275</v>
      </c>
      <c r="F129" s="25" t="s">
        <v>276</v>
      </c>
      <c r="G129" s="29" t="s">
        <v>277</v>
      </c>
      <c r="H129" s="181" t="str">
        <f t="shared" si="6"/>
        <v>Casandra/Galeria/LuzEstado/08</v>
      </c>
    </row>
    <row r="130" spans="1:8" x14ac:dyDescent="0.3">
      <c r="A130" s="179" t="s">
        <v>53</v>
      </c>
      <c r="B130" s="29" t="s">
        <v>250</v>
      </c>
      <c r="C130" s="29" t="s">
        <v>273</v>
      </c>
      <c r="D130" s="180" t="s">
        <v>285</v>
      </c>
      <c r="E130" s="29" t="s">
        <v>275</v>
      </c>
      <c r="F130" s="25" t="s">
        <v>276</v>
      </c>
      <c r="G130" s="29" t="s">
        <v>277</v>
      </c>
      <c r="H130" s="181" t="str">
        <f t="shared" si="6"/>
        <v>Casandra/Galeria/LuzEstado/09</v>
      </c>
    </row>
    <row r="131" spans="1:8" x14ac:dyDescent="0.3">
      <c r="A131" s="179" t="s">
        <v>53</v>
      </c>
      <c r="B131" s="29" t="s">
        <v>250</v>
      </c>
      <c r="C131" s="29" t="s">
        <v>273</v>
      </c>
      <c r="D131" s="180" t="s">
        <v>286</v>
      </c>
      <c r="E131" s="29" t="s">
        <v>275</v>
      </c>
      <c r="F131" s="25" t="s">
        <v>276</v>
      </c>
      <c r="G131" s="29" t="s">
        <v>277</v>
      </c>
      <c r="H131" s="181" t="str">
        <f t="shared" si="6"/>
        <v>Casandra/Galeria/LuzEstado/10</v>
      </c>
    </row>
    <row r="132" spans="1:8" x14ac:dyDescent="0.3">
      <c r="A132" s="179" t="s">
        <v>53</v>
      </c>
      <c r="B132" s="29" t="s">
        <v>250</v>
      </c>
      <c r="C132" s="29" t="s">
        <v>273</v>
      </c>
      <c r="D132" s="180" t="s">
        <v>287</v>
      </c>
      <c r="E132" s="29" t="s">
        <v>275</v>
      </c>
      <c r="F132" s="25" t="s">
        <v>276</v>
      </c>
      <c r="G132" s="29" t="s">
        <v>277</v>
      </c>
      <c r="H132" s="181" t="str">
        <f t="shared" si="6"/>
        <v>Casandra/Galeria/LuzEstado/11</v>
      </c>
    </row>
    <row r="133" spans="1:8" x14ac:dyDescent="0.3">
      <c r="A133" s="179" t="s">
        <v>53</v>
      </c>
      <c r="B133" s="29" t="s">
        <v>250</v>
      </c>
      <c r="C133" s="29" t="s">
        <v>273</v>
      </c>
      <c r="D133" s="180" t="s">
        <v>288</v>
      </c>
      <c r="E133" s="29" t="s">
        <v>275</v>
      </c>
      <c r="F133" s="25" t="s">
        <v>276</v>
      </c>
      <c r="G133" s="29" t="s">
        <v>277</v>
      </c>
      <c r="H133" s="181" t="str">
        <f t="shared" si="6"/>
        <v>Casandra/Galeria/LuzEstado/12</v>
      </c>
    </row>
    <row r="134" spans="1:8" x14ac:dyDescent="0.3">
      <c r="A134" s="179" t="s">
        <v>53</v>
      </c>
      <c r="B134" s="29" t="s">
        <v>250</v>
      </c>
      <c r="C134" s="29" t="s">
        <v>301</v>
      </c>
      <c r="D134" s="180" t="s">
        <v>274</v>
      </c>
      <c r="E134" s="29" t="s">
        <v>302</v>
      </c>
      <c r="F134" s="25" t="s">
        <v>303</v>
      </c>
      <c r="G134" s="29" t="s">
        <v>277</v>
      </c>
      <c r="H134" s="181" t="str">
        <f t="shared" si="6"/>
        <v>Casandra/Galeria/LuzIntensidad/01</v>
      </c>
    </row>
    <row r="135" spans="1:8" x14ac:dyDescent="0.3">
      <c r="A135" s="179" t="s">
        <v>53</v>
      </c>
      <c r="B135" s="29" t="s">
        <v>250</v>
      </c>
      <c r="C135" s="29" t="s">
        <v>301</v>
      </c>
      <c r="D135" s="180" t="s">
        <v>278</v>
      </c>
      <c r="E135" s="29" t="s">
        <v>302</v>
      </c>
      <c r="F135" s="25" t="s">
        <v>303</v>
      </c>
      <c r="G135" s="29" t="s">
        <v>277</v>
      </c>
      <c r="H135" s="181" t="str">
        <f t="shared" si="6"/>
        <v>Casandra/Galeria/LuzIntensidad/02</v>
      </c>
    </row>
    <row r="136" spans="1:8" x14ac:dyDescent="0.3">
      <c r="A136" s="179" t="s">
        <v>53</v>
      </c>
      <c r="B136" s="29" t="s">
        <v>250</v>
      </c>
      <c r="C136" s="29" t="s">
        <v>301</v>
      </c>
      <c r="D136" s="180" t="s">
        <v>279</v>
      </c>
      <c r="E136" s="29" t="s">
        <v>302</v>
      </c>
      <c r="F136" s="25" t="s">
        <v>303</v>
      </c>
      <c r="G136" s="29" t="s">
        <v>277</v>
      </c>
      <c r="H136" s="181" t="str">
        <f t="shared" si="6"/>
        <v>Casandra/Galeria/LuzIntensidad/03</v>
      </c>
    </row>
    <row r="137" spans="1:8" x14ac:dyDescent="0.3">
      <c r="A137" s="179" t="s">
        <v>53</v>
      </c>
      <c r="B137" s="29" t="s">
        <v>250</v>
      </c>
      <c r="C137" s="29" t="s">
        <v>301</v>
      </c>
      <c r="D137" s="180" t="s">
        <v>280</v>
      </c>
      <c r="E137" s="29" t="s">
        <v>302</v>
      </c>
      <c r="F137" s="25" t="s">
        <v>303</v>
      </c>
      <c r="G137" s="29" t="s">
        <v>277</v>
      </c>
      <c r="H137" s="181" t="str">
        <f t="shared" si="6"/>
        <v>Casandra/Galeria/LuzIntensidad/04</v>
      </c>
    </row>
    <row r="138" spans="1:8" x14ac:dyDescent="0.3">
      <c r="A138" s="179" t="s">
        <v>53</v>
      </c>
      <c r="B138" s="29" t="s">
        <v>250</v>
      </c>
      <c r="C138" s="29" t="s">
        <v>301</v>
      </c>
      <c r="D138" s="180" t="s">
        <v>281</v>
      </c>
      <c r="E138" s="29" t="s">
        <v>302</v>
      </c>
      <c r="F138" s="25" t="s">
        <v>303</v>
      </c>
      <c r="G138" s="29" t="s">
        <v>277</v>
      </c>
      <c r="H138" s="181" t="str">
        <f t="shared" si="6"/>
        <v>Casandra/Galeria/LuzIntensidad/05</v>
      </c>
    </row>
    <row r="139" spans="1:8" x14ac:dyDescent="0.3">
      <c r="A139" s="179" t="s">
        <v>53</v>
      </c>
      <c r="B139" s="29" t="s">
        <v>250</v>
      </c>
      <c r="C139" s="29" t="s">
        <v>301</v>
      </c>
      <c r="D139" s="180" t="s">
        <v>282</v>
      </c>
      <c r="E139" s="29" t="s">
        <v>302</v>
      </c>
      <c r="F139" s="25" t="s">
        <v>303</v>
      </c>
      <c r="G139" s="29" t="s">
        <v>277</v>
      </c>
      <c r="H139" s="181" t="str">
        <f t="shared" si="6"/>
        <v>Casandra/Galeria/LuzIntensidad/06</v>
      </c>
    </row>
    <row r="140" spans="1:8" x14ac:dyDescent="0.3">
      <c r="A140" s="179" t="s">
        <v>53</v>
      </c>
      <c r="B140" s="29" t="s">
        <v>250</v>
      </c>
      <c r="C140" s="29" t="s">
        <v>301</v>
      </c>
      <c r="D140" s="180" t="s">
        <v>283</v>
      </c>
      <c r="E140" s="29" t="s">
        <v>302</v>
      </c>
      <c r="F140" s="25" t="s">
        <v>303</v>
      </c>
      <c r="G140" s="29" t="s">
        <v>277</v>
      </c>
      <c r="H140" s="181" t="str">
        <f t="shared" si="6"/>
        <v>Casandra/Galeria/LuzIntensidad/07</v>
      </c>
    </row>
    <row r="141" spans="1:8" x14ac:dyDescent="0.3">
      <c r="A141" s="179" t="s">
        <v>53</v>
      </c>
      <c r="B141" s="29" t="s">
        <v>250</v>
      </c>
      <c r="C141" s="29" t="s">
        <v>301</v>
      </c>
      <c r="D141" s="180" t="s">
        <v>284</v>
      </c>
      <c r="E141" s="29" t="s">
        <v>302</v>
      </c>
      <c r="F141" s="25" t="s">
        <v>303</v>
      </c>
      <c r="G141" s="29" t="s">
        <v>277</v>
      </c>
      <c r="H141" s="181" t="str">
        <f t="shared" si="6"/>
        <v>Casandra/Galeria/LuzIntensidad/08</v>
      </c>
    </row>
    <row r="142" spans="1:8" x14ac:dyDescent="0.3">
      <c r="A142" s="179" t="s">
        <v>53</v>
      </c>
      <c r="B142" s="29" t="s">
        <v>250</v>
      </c>
      <c r="C142" s="29" t="s">
        <v>301</v>
      </c>
      <c r="D142" s="180" t="s">
        <v>285</v>
      </c>
      <c r="E142" s="29" t="s">
        <v>302</v>
      </c>
      <c r="F142" s="25" t="s">
        <v>303</v>
      </c>
      <c r="G142" s="29" t="s">
        <v>277</v>
      </c>
      <c r="H142" s="181" t="str">
        <f t="shared" si="6"/>
        <v>Casandra/Galeria/LuzIntensidad/09</v>
      </c>
    </row>
    <row r="143" spans="1:8" x14ac:dyDescent="0.3">
      <c r="A143" s="179" t="s">
        <v>53</v>
      </c>
      <c r="B143" s="29" t="s">
        <v>250</v>
      </c>
      <c r="C143" s="29" t="s">
        <v>301</v>
      </c>
      <c r="D143" s="180" t="s">
        <v>286</v>
      </c>
      <c r="E143" s="29" t="s">
        <v>302</v>
      </c>
      <c r="F143" s="25" t="s">
        <v>303</v>
      </c>
      <c r="G143" s="29" t="s">
        <v>277</v>
      </c>
      <c r="H143" s="181" t="str">
        <f t="shared" si="6"/>
        <v>Casandra/Galeria/LuzIntensidad/10</v>
      </c>
    </row>
    <row r="144" spans="1:8" x14ac:dyDescent="0.3">
      <c r="A144" s="179" t="s">
        <v>53</v>
      </c>
      <c r="B144" s="29" t="s">
        <v>250</v>
      </c>
      <c r="C144" s="29" t="s">
        <v>301</v>
      </c>
      <c r="D144" s="180" t="s">
        <v>287</v>
      </c>
      <c r="E144" s="29" t="s">
        <v>302</v>
      </c>
      <c r="F144" s="25" t="s">
        <v>303</v>
      </c>
      <c r="G144" s="29" t="s">
        <v>277</v>
      </c>
      <c r="H144" s="181" t="str">
        <f t="shared" si="6"/>
        <v>Casandra/Galeria/LuzIntensidad/11</v>
      </c>
    </row>
    <row r="145" spans="1:8" x14ac:dyDescent="0.3">
      <c r="A145" s="179" t="s">
        <v>53</v>
      </c>
      <c r="B145" s="29" t="s">
        <v>250</v>
      </c>
      <c r="C145" s="29" t="s">
        <v>301</v>
      </c>
      <c r="D145" s="180" t="s">
        <v>288</v>
      </c>
      <c r="E145" s="29" t="s">
        <v>302</v>
      </c>
      <c r="F145" s="25" t="s">
        <v>303</v>
      </c>
      <c r="G145" s="29" t="s">
        <v>277</v>
      </c>
      <c r="H145" s="181" t="str">
        <f t="shared" si="6"/>
        <v>Casandra/Galeria/LuzIntensidad/12</v>
      </c>
    </row>
    <row r="146" spans="1:8" x14ac:dyDescent="0.3">
      <c r="A146" s="179" t="s">
        <v>53</v>
      </c>
      <c r="B146" s="29" t="s">
        <v>250</v>
      </c>
      <c r="C146" s="29" t="s">
        <v>304</v>
      </c>
      <c r="D146" s="180" t="s">
        <v>274</v>
      </c>
      <c r="E146" s="29" t="s">
        <v>305</v>
      </c>
      <c r="F146" s="25" t="s">
        <v>306</v>
      </c>
      <c r="G146" s="29" t="s">
        <v>307</v>
      </c>
      <c r="H146" s="181" t="str">
        <f t="shared" ref="H146:H153" si="7">CONCATENATE(A146,"/",B146,"/",C146,"/",D146,)</f>
        <v>Casandra/Galeria/Temperatura/01</v>
      </c>
    </row>
    <row r="147" spans="1:8" x14ac:dyDescent="0.3">
      <c r="A147" s="179" t="s">
        <v>53</v>
      </c>
      <c r="B147" s="29" t="s">
        <v>250</v>
      </c>
      <c r="C147" s="29" t="s">
        <v>304</v>
      </c>
      <c r="D147" s="180" t="s">
        <v>278</v>
      </c>
      <c r="E147" s="29" t="s">
        <v>305</v>
      </c>
      <c r="F147" s="25" t="s">
        <v>306</v>
      </c>
      <c r="G147" s="29" t="s">
        <v>307</v>
      </c>
      <c r="H147" s="181" t="str">
        <f t="shared" si="7"/>
        <v>Casandra/Galeria/Temperatura/02</v>
      </c>
    </row>
    <row r="148" spans="1:8" x14ac:dyDescent="0.3">
      <c r="A148" s="179" t="s">
        <v>53</v>
      </c>
      <c r="B148" s="29" t="s">
        <v>250</v>
      </c>
      <c r="C148" s="29" t="s">
        <v>308</v>
      </c>
      <c r="D148" s="180" t="s">
        <v>274</v>
      </c>
      <c r="E148" s="29" t="s">
        <v>305</v>
      </c>
      <c r="F148" s="25" t="s">
        <v>309</v>
      </c>
      <c r="G148" s="29" t="s">
        <v>307</v>
      </c>
      <c r="H148" s="181" t="str">
        <f t="shared" si="7"/>
        <v>Casandra/Galeria/Humedad/01</v>
      </c>
    </row>
    <row r="149" spans="1:8" x14ac:dyDescent="0.3">
      <c r="A149" s="179" t="s">
        <v>53</v>
      </c>
      <c r="B149" s="29" t="s">
        <v>250</v>
      </c>
      <c r="C149" s="29" t="s">
        <v>308</v>
      </c>
      <c r="D149" s="180" t="s">
        <v>278</v>
      </c>
      <c r="E149" s="29" t="s">
        <v>305</v>
      </c>
      <c r="F149" s="25" t="s">
        <v>309</v>
      </c>
      <c r="G149" s="29" t="s">
        <v>307</v>
      </c>
      <c r="H149" s="181" t="str">
        <f t="shared" si="7"/>
        <v>Casandra/Galeria/Humedad/02</v>
      </c>
    </row>
    <row r="150" spans="1:8" x14ac:dyDescent="0.3">
      <c r="A150" s="179" t="s">
        <v>53</v>
      </c>
      <c r="B150" s="29" t="s">
        <v>250</v>
      </c>
      <c r="C150" s="29" t="s">
        <v>310</v>
      </c>
      <c r="D150" s="180" t="s">
        <v>274</v>
      </c>
      <c r="E150" s="29" t="s">
        <v>275</v>
      </c>
      <c r="F150" s="25" t="s">
        <v>311</v>
      </c>
      <c r="G150" s="29" t="s">
        <v>307</v>
      </c>
      <c r="H150" s="181" t="str">
        <f t="shared" si="7"/>
        <v>Casandra/Galeria/SensorMov/01</v>
      </c>
    </row>
    <row r="151" spans="1:8" x14ac:dyDescent="0.3">
      <c r="A151" s="179" t="s">
        <v>53</v>
      </c>
      <c r="B151" s="29" t="s">
        <v>250</v>
      </c>
      <c r="C151" s="29" t="s">
        <v>310</v>
      </c>
      <c r="D151" s="180" t="s">
        <v>278</v>
      </c>
      <c r="E151" s="29" t="s">
        <v>420</v>
      </c>
      <c r="F151" s="25" t="s">
        <v>311</v>
      </c>
      <c r="G151" s="29" t="s">
        <v>307</v>
      </c>
      <c r="H151" s="181" t="str">
        <f t="shared" si="7"/>
        <v>Casandra/Galeria/SensorMov/02</v>
      </c>
    </row>
    <row r="152" spans="1:8" thickBot="1" x14ac:dyDescent="0.3">
      <c r="A152" s="179" t="s">
        <v>53</v>
      </c>
      <c r="B152" s="29" t="s">
        <v>250</v>
      </c>
      <c r="C152" s="29" t="s">
        <v>248</v>
      </c>
      <c r="D152" s="180"/>
      <c r="E152" s="29" t="s">
        <v>479</v>
      </c>
      <c r="F152" s="25" t="s">
        <v>466</v>
      </c>
      <c r="G152" s="29" t="s">
        <v>307</v>
      </c>
      <c r="H152" s="181" t="str">
        <f>CONCATENATE(A152,"/",B152,"/",C152,)</f>
        <v>Casandra/Galeria/Mosquito</v>
      </c>
    </row>
    <row r="153" spans="1:8" ht="15" x14ac:dyDescent="0.35">
      <c r="A153" s="179" t="s">
        <v>53</v>
      </c>
      <c r="B153" s="29" t="s">
        <v>250</v>
      </c>
      <c r="C153" s="29" t="s">
        <v>421</v>
      </c>
      <c r="D153" s="180" t="s">
        <v>422</v>
      </c>
      <c r="E153" s="29" t="s">
        <v>431</v>
      </c>
      <c r="F153" s="25" t="s">
        <v>423</v>
      </c>
      <c r="G153" s="29" t="s">
        <v>277</v>
      </c>
      <c r="H153" s="181" t="str">
        <f t="shared" si="7"/>
        <v>Casandra/Galeria/Modulo/1</v>
      </c>
    </row>
    <row r="154" spans="1:8" x14ac:dyDescent="0.3">
      <c r="A154" s="174" t="s">
        <v>53</v>
      </c>
      <c r="B154" s="175" t="s">
        <v>245</v>
      </c>
      <c r="C154" s="175" t="s">
        <v>314</v>
      </c>
      <c r="D154" s="176"/>
      <c r="E154" s="175" t="s">
        <v>275</v>
      </c>
      <c r="F154" s="177" t="s">
        <v>315</v>
      </c>
      <c r="G154" s="175" t="s">
        <v>307</v>
      </c>
      <c r="H154" s="178" t="str">
        <f t="shared" ref="H154:H162" si="8">CONCATENATE(A154,"/",B154,"/",C154,)</f>
        <v>Casandra/Hall/Sodios</v>
      </c>
    </row>
    <row r="155" spans="1:8" x14ac:dyDescent="0.3">
      <c r="A155" s="179" t="s">
        <v>53</v>
      </c>
      <c r="B155" s="29" t="s">
        <v>245</v>
      </c>
      <c r="C155" s="29" t="s">
        <v>60</v>
      </c>
      <c r="D155" s="29"/>
      <c r="E155" s="29" t="s">
        <v>418</v>
      </c>
      <c r="F155" s="25" t="s">
        <v>419</v>
      </c>
      <c r="G155" s="29" t="s">
        <v>307</v>
      </c>
      <c r="H155" s="181" t="str">
        <f t="shared" si="8"/>
        <v>Casandra/Hall/Sirena</v>
      </c>
    </row>
    <row r="156" spans="1:8" x14ac:dyDescent="0.3">
      <c r="A156" s="179" t="s">
        <v>53</v>
      </c>
      <c r="B156" s="29" t="s">
        <v>245</v>
      </c>
      <c r="C156" s="29" t="s">
        <v>316</v>
      </c>
      <c r="D156" s="29"/>
      <c r="E156" s="29" t="s">
        <v>275</v>
      </c>
      <c r="F156" s="25" t="s">
        <v>317</v>
      </c>
      <c r="G156" s="29" t="s">
        <v>307</v>
      </c>
      <c r="H156" s="181" t="str">
        <f t="shared" si="8"/>
        <v>Casandra/Hall/LuzCamino</v>
      </c>
    </row>
    <row r="157" spans="1:8" x14ac:dyDescent="0.3">
      <c r="A157" s="179" t="s">
        <v>53</v>
      </c>
      <c r="B157" s="29" t="s">
        <v>245</v>
      </c>
      <c r="C157" s="29" t="s">
        <v>318</v>
      </c>
      <c r="D157" s="29"/>
      <c r="E157" s="29" t="s">
        <v>275</v>
      </c>
      <c r="F157" s="25" t="s">
        <v>319</v>
      </c>
      <c r="G157" s="29" t="s">
        <v>307</v>
      </c>
      <c r="H157" s="181" t="str">
        <f t="shared" si="8"/>
        <v>Casandra/Hall/LuzEntrada</v>
      </c>
    </row>
    <row r="158" spans="1:8" x14ac:dyDescent="0.3">
      <c r="A158" s="179" t="s">
        <v>53</v>
      </c>
      <c r="B158" s="29" t="s">
        <v>245</v>
      </c>
      <c r="C158" s="29" t="s">
        <v>320</v>
      </c>
      <c r="D158" s="29"/>
      <c r="E158" s="29" t="s">
        <v>321</v>
      </c>
      <c r="F158" s="25" t="s">
        <v>322</v>
      </c>
      <c r="G158" s="29" t="s">
        <v>307</v>
      </c>
      <c r="H158" s="181" t="str">
        <f t="shared" si="8"/>
        <v>Casandra/Hall/Porton</v>
      </c>
    </row>
    <row r="159" spans="1:8" x14ac:dyDescent="0.3">
      <c r="A159" s="179" t="s">
        <v>53</v>
      </c>
      <c r="B159" s="29" t="s">
        <v>245</v>
      </c>
      <c r="C159" s="29" t="s">
        <v>323</v>
      </c>
      <c r="D159" s="29"/>
      <c r="E159" s="29" t="s">
        <v>275</v>
      </c>
      <c r="F159" s="25" t="s">
        <v>324</v>
      </c>
      <c r="G159" s="29" t="s">
        <v>307</v>
      </c>
      <c r="H159" s="181" t="str">
        <f t="shared" si="8"/>
        <v>Casandra/Hall/Timbre</v>
      </c>
    </row>
    <row r="160" spans="1:8" ht="15" thickBot="1" x14ac:dyDescent="0.35">
      <c r="A160" s="182" t="s">
        <v>53</v>
      </c>
      <c r="B160" s="183" t="s">
        <v>245</v>
      </c>
      <c r="C160" s="183" t="s">
        <v>248</v>
      </c>
      <c r="D160" s="183"/>
      <c r="E160" s="29" t="s">
        <v>479</v>
      </c>
      <c r="F160" s="185" t="s">
        <v>467</v>
      </c>
      <c r="G160" s="183" t="s">
        <v>307</v>
      </c>
      <c r="H160" s="186" t="str">
        <f t="shared" ref="H160" si="9">CONCATENATE(A160,"/",B160,"/",C160,)</f>
        <v>Casandra/Hall/Mosquito</v>
      </c>
    </row>
    <row r="161" spans="1:8" x14ac:dyDescent="0.3">
      <c r="A161" s="174" t="s">
        <v>53</v>
      </c>
      <c r="B161" s="175" t="s">
        <v>264</v>
      </c>
      <c r="C161" s="175" t="s">
        <v>325</v>
      </c>
      <c r="D161" s="175"/>
      <c r="E161" s="175" t="s">
        <v>326</v>
      </c>
      <c r="F161" s="177" t="s">
        <v>327</v>
      </c>
      <c r="G161" s="175" t="s">
        <v>307</v>
      </c>
      <c r="H161" s="178" t="str">
        <f t="shared" si="8"/>
        <v>Casandra/Caldera/LuzSolar</v>
      </c>
    </row>
    <row r="162" spans="1:8" x14ac:dyDescent="0.3">
      <c r="A162" s="179" t="s">
        <v>53</v>
      </c>
      <c r="B162" s="29" t="s">
        <v>264</v>
      </c>
      <c r="C162" s="29" t="s">
        <v>328</v>
      </c>
      <c r="D162" s="29"/>
      <c r="E162" s="29" t="s">
        <v>275</v>
      </c>
      <c r="F162" s="25" t="s">
        <v>329</v>
      </c>
      <c r="G162" s="29" t="s">
        <v>307</v>
      </c>
      <c r="H162" s="181" t="str">
        <f t="shared" si="8"/>
        <v>Casandra/Caldera/Lluvia</v>
      </c>
    </row>
    <row r="163" spans="1:8" x14ac:dyDescent="0.3">
      <c r="A163" s="179" t="s">
        <v>53</v>
      </c>
      <c r="B163" s="29" t="s">
        <v>264</v>
      </c>
      <c r="C163" s="29" t="s">
        <v>304</v>
      </c>
      <c r="D163" s="29"/>
      <c r="E163" s="29" t="s">
        <v>305</v>
      </c>
      <c r="F163" s="25" t="s">
        <v>306</v>
      </c>
      <c r="G163" s="29" t="s">
        <v>307</v>
      </c>
      <c r="H163" s="181" t="str">
        <f>CONCATENATE(A163,"/",B163,"/",C163,)</f>
        <v>Casandra/Caldera/Temperatura</v>
      </c>
    </row>
    <row r="164" spans="1:8" x14ac:dyDescent="0.3">
      <c r="A164" s="179" t="s">
        <v>53</v>
      </c>
      <c r="B164" s="29" t="s">
        <v>264</v>
      </c>
      <c r="C164" s="29" t="s">
        <v>273</v>
      </c>
      <c r="D164" s="180" t="s">
        <v>274</v>
      </c>
      <c r="E164" s="29" t="s">
        <v>275</v>
      </c>
      <c r="F164" s="25" t="s">
        <v>276</v>
      </c>
      <c r="G164" s="29" t="s">
        <v>307</v>
      </c>
      <c r="H164" s="181" t="str">
        <f>CONCATENATE(A164,"/",B164,"/",C164,"/",D164,)</f>
        <v>Casandra/Caldera/LuzEstado/01</v>
      </c>
    </row>
    <row r="165" spans="1:8" x14ac:dyDescent="0.3">
      <c r="A165" s="179" t="s">
        <v>53</v>
      </c>
      <c r="B165" s="29" t="s">
        <v>264</v>
      </c>
      <c r="C165" s="29" t="s">
        <v>273</v>
      </c>
      <c r="D165" s="180" t="s">
        <v>278</v>
      </c>
      <c r="E165" s="29" t="s">
        <v>275</v>
      </c>
      <c r="F165" s="25" t="s">
        <v>276</v>
      </c>
      <c r="G165" s="29" t="s">
        <v>307</v>
      </c>
      <c r="H165" s="181" t="str">
        <f>CONCATENATE(A165,"/",B165,"/",C165,"/",D165,)</f>
        <v>Casandra/Caldera/LuzEstado/02</v>
      </c>
    </row>
    <row r="166" spans="1:8" x14ac:dyDescent="0.3">
      <c r="A166" s="179" t="s">
        <v>53</v>
      </c>
      <c r="B166" s="29" t="s">
        <v>264</v>
      </c>
      <c r="C166" s="29" t="s">
        <v>273</v>
      </c>
      <c r="D166" s="180" t="s">
        <v>279</v>
      </c>
      <c r="E166" s="29" t="s">
        <v>275</v>
      </c>
      <c r="F166" s="25" t="s">
        <v>276</v>
      </c>
      <c r="G166" s="29" t="s">
        <v>307</v>
      </c>
      <c r="H166" s="181" t="str">
        <f>CONCATENATE(A166,"/",B166,"/",C166,"/",D166,)</f>
        <v>Casandra/Caldera/LuzEstado/03</v>
      </c>
    </row>
    <row r="167" spans="1:8" x14ac:dyDescent="0.3">
      <c r="A167" s="179" t="s">
        <v>53</v>
      </c>
      <c r="B167" s="29" t="s">
        <v>264</v>
      </c>
      <c r="C167" s="29" t="s">
        <v>330</v>
      </c>
      <c r="D167" s="29"/>
      <c r="E167" s="29" t="s">
        <v>275</v>
      </c>
      <c r="F167" s="25" t="s">
        <v>331</v>
      </c>
      <c r="G167" s="29" t="s">
        <v>307</v>
      </c>
      <c r="H167" s="181" t="str">
        <f>CONCATENATE(A167,"/",B167,"/",C167,)</f>
        <v>Casandra/Caldera/Termostato</v>
      </c>
    </row>
    <row r="168" spans="1:8" x14ac:dyDescent="0.3">
      <c r="A168" s="179" t="s">
        <v>53</v>
      </c>
      <c r="B168" s="29" t="s">
        <v>264</v>
      </c>
      <c r="C168" s="29" t="s">
        <v>310</v>
      </c>
      <c r="D168" s="180" t="s">
        <v>274</v>
      </c>
      <c r="E168" s="29" t="s">
        <v>275</v>
      </c>
      <c r="F168" s="25" t="s">
        <v>311</v>
      </c>
      <c r="G168" s="29" t="s">
        <v>307</v>
      </c>
      <c r="H168" s="181" t="str">
        <f>CONCATENATE(A168,"/",B168,"/",C168,"/",D168,)</f>
        <v>Casandra/Caldera/SensorMov/01</v>
      </c>
    </row>
    <row r="169" spans="1:8" x14ac:dyDescent="0.3">
      <c r="A169" s="179" t="s">
        <v>53</v>
      </c>
      <c r="B169" s="29" t="s">
        <v>264</v>
      </c>
      <c r="C169" s="29" t="s">
        <v>310</v>
      </c>
      <c r="D169" s="180" t="s">
        <v>278</v>
      </c>
      <c r="E169" s="29" t="s">
        <v>275</v>
      </c>
      <c r="F169" s="25" t="s">
        <v>311</v>
      </c>
      <c r="G169" s="29" t="s">
        <v>307</v>
      </c>
      <c r="H169" s="181" t="str">
        <f>CONCATENATE(A169,"/",B169,"/",C169,"/",D169,)</f>
        <v>Casandra/Caldera/SensorMov/02</v>
      </c>
    </row>
    <row r="170" spans="1:8" ht="15" thickBot="1" x14ac:dyDescent="0.35">
      <c r="A170" s="182" t="s">
        <v>53</v>
      </c>
      <c r="B170" s="183" t="s">
        <v>264</v>
      </c>
      <c r="C170" s="183" t="s">
        <v>248</v>
      </c>
      <c r="D170" s="184"/>
      <c r="E170" s="183" t="s">
        <v>479</v>
      </c>
      <c r="F170" s="185" t="s">
        <v>468</v>
      </c>
      <c r="G170" s="183" t="s">
        <v>307</v>
      </c>
      <c r="H170" s="186" t="str">
        <f>CONCATENATE(A170,"/",B170,"/",C170,)</f>
        <v>Casandra/Caldera/Mosquito</v>
      </c>
    </row>
    <row r="171" spans="1:8" x14ac:dyDescent="0.3">
      <c r="A171" s="174" t="s">
        <v>53</v>
      </c>
      <c r="B171" s="175" t="s">
        <v>320</v>
      </c>
      <c r="C171" s="175" t="s">
        <v>375</v>
      </c>
      <c r="D171" s="175"/>
      <c r="E171" s="29" t="s">
        <v>374</v>
      </c>
      <c r="F171" s="177" t="s">
        <v>345</v>
      </c>
      <c r="G171" s="175" t="s">
        <v>307</v>
      </c>
      <c r="H171" s="178" t="str">
        <f t="shared" ref="H171:H175" si="10">CONCATENATE(A171,"/",B171,"/",C171,)</f>
        <v>Casandra/Porton/BtnAbrir</v>
      </c>
    </row>
    <row r="172" spans="1:8" x14ac:dyDescent="0.3">
      <c r="A172" s="179" t="s">
        <v>53</v>
      </c>
      <c r="B172" s="29" t="s">
        <v>320</v>
      </c>
      <c r="C172" s="29" t="s">
        <v>376</v>
      </c>
      <c r="D172" s="29"/>
      <c r="E172" s="29" t="s">
        <v>374</v>
      </c>
      <c r="F172" s="25" t="s">
        <v>345</v>
      </c>
      <c r="G172" s="29" t="s">
        <v>307</v>
      </c>
      <c r="H172" s="181" t="str">
        <f t="shared" si="10"/>
        <v>Casandra/Porton/BtnCerrar</v>
      </c>
    </row>
    <row r="173" spans="1:8" x14ac:dyDescent="0.3">
      <c r="A173" s="179" t="s">
        <v>53</v>
      </c>
      <c r="B173" s="29" t="s">
        <v>320</v>
      </c>
      <c r="C173" s="29" t="s">
        <v>316</v>
      </c>
      <c r="D173" s="29"/>
      <c r="E173" s="29" t="s">
        <v>275</v>
      </c>
      <c r="F173" s="25" t="s">
        <v>344</v>
      </c>
      <c r="G173" s="29" t="s">
        <v>307</v>
      </c>
      <c r="H173" s="181" t="str">
        <f t="shared" si="10"/>
        <v>Casandra/Porton/LuzCamino</v>
      </c>
    </row>
    <row r="174" spans="1:8" x14ac:dyDescent="0.3">
      <c r="A174" s="179" t="s">
        <v>53</v>
      </c>
      <c r="B174" s="29" t="s">
        <v>320</v>
      </c>
      <c r="C174" s="29" t="s">
        <v>323</v>
      </c>
      <c r="D174" s="180"/>
      <c r="E174" s="29" t="s">
        <v>275</v>
      </c>
      <c r="F174" s="25" t="s">
        <v>346</v>
      </c>
      <c r="G174" s="29" t="s">
        <v>307</v>
      </c>
      <c r="H174" s="181" t="str">
        <f t="shared" si="10"/>
        <v>Casandra/Porton/Timbre</v>
      </c>
    </row>
    <row r="175" spans="1:8" x14ac:dyDescent="0.3">
      <c r="A175" s="179" t="s">
        <v>53</v>
      </c>
      <c r="B175" s="29" t="s">
        <v>320</v>
      </c>
      <c r="C175" s="29" t="s">
        <v>342</v>
      </c>
      <c r="D175" s="180"/>
      <c r="E175" s="29" t="s">
        <v>275</v>
      </c>
      <c r="F175" s="25" t="s">
        <v>347</v>
      </c>
      <c r="G175" s="29" t="s">
        <v>307</v>
      </c>
      <c r="H175" s="181" t="str">
        <f t="shared" si="10"/>
        <v>Casandra/Porton/SensPuerta</v>
      </c>
    </row>
    <row r="176" spans="1:8" x14ac:dyDescent="0.3">
      <c r="A176" s="179" t="s">
        <v>53</v>
      </c>
      <c r="B176" s="29" t="s">
        <v>320</v>
      </c>
      <c r="C176" s="29" t="s">
        <v>343</v>
      </c>
      <c r="D176" s="180"/>
      <c r="E176" s="29" t="s">
        <v>275</v>
      </c>
      <c r="F176" s="25" t="s">
        <v>348</v>
      </c>
      <c r="G176" s="29" t="s">
        <v>307</v>
      </c>
      <c r="H176" s="181" t="str">
        <f>CONCATENATE(A176,"/",B176,"/",C176,)</f>
        <v>Casandra/Porton/SensPorton</v>
      </c>
    </row>
    <row r="177" spans="1:8" ht="15" thickBot="1" x14ac:dyDescent="0.35">
      <c r="A177" s="182" t="s">
        <v>53</v>
      </c>
      <c r="B177" s="183" t="s">
        <v>320</v>
      </c>
      <c r="C177" s="183" t="s">
        <v>248</v>
      </c>
      <c r="D177" s="184"/>
      <c r="E177" s="29" t="s">
        <v>479</v>
      </c>
      <c r="F177" s="185" t="s">
        <v>469</v>
      </c>
      <c r="G177" s="183" t="s">
        <v>307</v>
      </c>
      <c r="H177" s="186" t="str">
        <f>CONCATENATE(A177,"/",B177,"/",C177,)</f>
        <v>Casandra/Porton/Mosquito</v>
      </c>
    </row>
    <row r="178" spans="1:8" x14ac:dyDescent="0.3">
      <c r="A178" s="174" t="s">
        <v>53</v>
      </c>
      <c r="B178" s="175" t="s">
        <v>349</v>
      </c>
      <c r="C178" s="175" t="s">
        <v>352</v>
      </c>
      <c r="D178" s="175"/>
      <c r="E178" s="175" t="s">
        <v>350</v>
      </c>
      <c r="F178" s="177" t="s">
        <v>351</v>
      </c>
      <c r="G178" s="175" t="s">
        <v>307</v>
      </c>
      <c r="H178" s="178" t="str">
        <f t="shared" ref="H178:H184" si="11">CONCATENATE(A178,"/",B178,"/",C178,)</f>
        <v>Casandra/Estar/LuzRGB</v>
      </c>
    </row>
    <row r="179" spans="1:8" x14ac:dyDescent="0.3">
      <c r="A179" s="179" t="s">
        <v>53</v>
      </c>
      <c r="B179" s="29" t="s">
        <v>349</v>
      </c>
      <c r="C179" s="29" t="s">
        <v>273</v>
      </c>
      <c r="D179" s="29"/>
      <c r="E179" s="29" t="s">
        <v>275</v>
      </c>
      <c r="F179" s="25" t="s">
        <v>276</v>
      </c>
      <c r="G179" s="29" t="s">
        <v>307</v>
      </c>
      <c r="H179" s="181" t="str">
        <f t="shared" si="11"/>
        <v>Casandra/Estar/LuzEstado</v>
      </c>
    </row>
    <row r="180" spans="1:8" x14ac:dyDescent="0.3">
      <c r="A180" s="179" t="s">
        <v>53</v>
      </c>
      <c r="B180" s="29" t="s">
        <v>349</v>
      </c>
      <c r="C180" s="29" t="s">
        <v>448</v>
      </c>
      <c r="D180" s="29"/>
      <c r="E180" s="29" t="s">
        <v>488</v>
      </c>
      <c r="F180" s="25" t="s">
        <v>487</v>
      </c>
      <c r="G180" s="29" t="s">
        <v>307</v>
      </c>
      <c r="H180" s="181" t="str">
        <f t="shared" si="11"/>
        <v>Casandra/Estar/ModoLED</v>
      </c>
    </row>
    <row r="181" spans="1:8" x14ac:dyDescent="0.3">
      <c r="A181" s="179" t="s">
        <v>53</v>
      </c>
      <c r="B181" s="29" t="s">
        <v>349</v>
      </c>
      <c r="C181" s="29" t="s">
        <v>449</v>
      </c>
      <c r="D181" s="29"/>
      <c r="E181" s="29" t="s">
        <v>450</v>
      </c>
      <c r="F181" s="25" t="s">
        <v>451</v>
      </c>
      <c r="G181" s="29" t="s">
        <v>307</v>
      </c>
      <c r="H181" s="181" t="str">
        <f t="shared" si="11"/>
        <v>Casandra/Estar/VelocidadLED</v>
      </c>
    </row>
    <row r="182" spans="1:8" x14ac:dyDescent="0.3">
      <c r="A182" s="179" t="s">
        <v>53</v>
      </c>
      <c r="B182" s="29" t="s">
        <v>349</v>
      </c>
      <c r="C182" s="29" t="s">
        <v>301</v>
      </c>
      <c r="D182" s="29"/>
      <c r="E182" s="29" t="s">
        <v>302</v>
      </c>
      <c r="F182" s="25" t="s">
        <v>303</v>
      </c>
      <c r="G182" s="29" t="s">
        <v>307</v>
      </c>
      <c r="H182" s="181" t="str">
        <f t="shared" si="11"/>
        <v>Casandra/Estar/LuzIntensidad</v>
      </c>
    </row>
    <row r="183" spans="1:8" x14ac:dyDescent="0.3">
      <c r="A183" s="179" t="s">
        <v>53</v>
      </c>
      <c r="B183" s="29" t="s">
        <v>349</v>
      </c>
      <c r="C183" s="29" t="s">
        <v>304</v>
      </c>
      <c r="D183" s="180"/>
      <c r="E183" s="29" t="s">
        <v>305</v>
      </c>
      <c r="F183" s="25" t="s">
        <v>306</v>
      </c>
      <c r="G183" s="29" t="s">
        <v>307</v>
      </c>
      <c r="H183" s="181" t="str">
        <f t="shared" si="11"/>
        <v>Casandra/Estar/Temperatura</v>
      </c>
    </row>
    <row r="184" spans="1:8" x14ac:dyDescent="0.3">
      <c r="A184" s="179" t="s">
        <v>53</v>
      </c>
      <c r="B184" s="29" t="s">
        <v>349</v>
      </c>
      <c r="C184" s="29" t="s">
        <v>308</v>
      </c>
      <c r="D184" s="180"/>
      <c r="E184" s="29" t="s">
        <v>305</v>
      </c>
      <c r="F184" s="25" t="s">
        <v>309</v>
      </c>
      <c r="G184" s="29" t="s">
        <v>307</v>
      </c>
      <c r="H184" s="181" t="str">
        <f t="shared" si="11"/>
        <v>Casandra/Estar/Humedad</v>
      </c>
    </row>
    <row r="185" spans="1:8" x14ac:dyDescent="0.3">
      <c r="A185" s="179" t="s">
        <v>53</v>
      </c>
      <c r="B185" s="29" t="s">
        <v>349</v>
      </c>
      <c r="C185" s="29" t="s">
        <v>330</v>
      </c>
      <c r="D185" s="180"/>
      <c r="E185" s="29" t="s">
        <v>275</v>
      </c>
      <c r="F185" s="25" t="s">
        <v>331</v>
      </c>
      <c r="G185" s="29" t="s">
        <v>307</v>
      </c>
      <c r="H185" s="181" t="str">
        <f>CONCATENATE(A185,"/",B185,"/",C185,)</f>
        <v>Casandra/Estar/Termostato</v>
      </c>
    </row>
    <row r="186" spans="1:8" x14ac:dyDescent="0.3">
      <c r="A186" s="179" t="s">
        <v>53</v>
      </c>
      <c r="B186" s="29" t="s">
        <v>349</v>
      </c>
      <c r="C186" s="29" t="s">
        <v>388</v>
      </c>
      <c r="D186" s="29" t="s">
        <v>377</v>
      </c>
      <c r="E186" s="29" t="s">
        <v>374</v>
      </c>
      <c r="F186" s="25" t="s">
        <v>353</v>
      </c>
      <c r="G186" s="29" t="s">
        <v>307</v>
      </c>
      <c r="H186" s="181" t="str">
        <f>CONCATENATE(A186,"/",B186,"/",C186,"/",D186,)</f>
        <v>Casandra/Estar/CRemoto/BtnOnTV</v>
      </c>
    </row>
    <row r="187" spans="1:8" x14ac:dyDescent="0.3">
      <c r="A187" s="179" t="s">
        <v>53</v>
      </c>
      <c r="B187" s="29" t="s">
        <v>349</v>
      </c>
      <c r="C187" s="29" t="s">
        <v>388</v>
      </c>
      <c r="D187" s="29" t="s">
        <v>378</v>
      </c>
      <c r="E187" s="29" t="s">
        <v>374</v>
      </c>
      <c r="F187" s="25" t="s">
        <v>383</v>
      </c>
      <c r="G187" s="29" t="s">
        <v>307</v>
      </c>
      <c r="H187" s="181" t="str">
        <f t="shared" ref="H187:H209" si="12">CONCATENATE(A187,"/",B187,"/",C187,"/",D187,)</f>
        <v>Casandra/Estar/CRemoto/BtnOnDeco</v>
      </c>
    </row>
    <row r="188" spans="1:8" x14ac:dyDescent="0.3">
      <c r="A188" s="179" t="s">
        <v>53</v>
      </c>
      <c r="B188" s="29" t="s">
        <v>349</v>
      </c>
      <c r="C188" s="29" t="s">
        <v>388</v>
      </c>
      <c r="D188" s="29" t="s">
        <v>379</v>
      </c>
      <c r="E188" s="29" t="s">
        <v>374</v>
      </c>
      <c r="F188" s="25" t="s">
        <v>384</v>
      </c>
      <c r="G188" s="29" t="s">
        <v>307</v>
      </c>
      <c r="H188" s="181" t="str">
        <f t="shared" si="12"/>
        <v>Casandra/Estar/CRemoto/BtnCanalUpDeco</v>
      </c>
    </row>
    <row r="189" spans="1:8" x14ac:dyDescent="0.3">
      <c r="A189" s="179" t="s">
        <v>53</v>
      </c>
      <c r="B189" s="29" t="s">
        <v>349</v>
      </c>
      <c r="C189" s="29" t="s">
        <v>388</v>
      </c>
      <c r="D189" s="29" t="s">
        <v>380</v>
      </c>
      <c r="E189" s="29" t="s">
        <v>374</v>
      </c>
      <c r="F189" s="25" t="s">
        <v>385</v>
      </c>
      <c r="G189" s="29" t="s">
        <v>307</v>
      </c>
      <c r="H189" s="181" t="str">
        <f t="shared" si="12"/>
        <v>Casandra/Estar/CRemoto/BtnCanalDoDeco</v>
      </c>
    </row>
    <row r="190" spans="1:8" x14ac:dyDescent="0.3">
      <c r="A190" s="179" t="s">
        <v>53</v>
      </c>
      <c r="B190" s="29" t="s">
        <v>349</v>
      </c>
      <c r="C190" s="29" t="s">
        <v>388</v>
      </c>
      <c r="D190" s="29" t="s">
        <v>382</v>
      </c>
      <c r="E190" s="29" t="s">
        <v>374</v>
      </c>
      <c r="F190" s="25" t="s">
        <v>386</v>
      </c>
      <c r="G190" s="29" t="s">
        <v>307</v>
      </c>
      <c r="H190" s="181" t="str">
        <f t="shared" si="12"/>
        <v>Casandra/Estar/CRemoto/BtnVolUpDeco</v>
      </c>
    </row>
    <row r="191" spans="1:8" x14ac:dyDescent="0.3">
      <c r="A191" s="179" t="s">
        <v>53</v>
      </c>
      <c r="B191" s="29" t="s">
        <v>349</v>
      </c>
      <c r="C191" s="29" t="s">
        <v>388</v>
      </c>
      <c r="D191" s="29" t="s">
        <v>381</v>
      </c>
      <c r="E191" s="29" t="s">
        <v>374</v>
      </c>
      <c r="F191" s="25" t="s">
        <v>387</v>
      </c>
      <c r="G191" s="29" t="s">
        <v>307</v>
      </c>
      <c r="H191" s="181" t="str">
        <f t="shared" si="12"/>
        <v>Casandra/Estar/CRemoto/BtnVolDoDeco</v>
      </c>
    </row>
    <row r="192" spans="1:8" x14ac:dyDescent="0.3">
      <c r="A192" s="179" t="s">
        <v>53</v>
      </c>
      <c r="B192" s="29" t="s">
        <v>349</v>
      </c>
      <c r="C192" s="29" t="s">
        <v>388</v>
      </c>
      <c r="D192" s="29" t="s">
        <v>354</v>
      </c>
      <c r="E192" s="29" t="s">
        <v>374</v>
      </c>
      <c r="F192" s="25" t="s">
        <v>364</v>
      </c>
      <c r="G192" s="29" t="s">
        <v>307</v>
      </c>
      <c r="H192" s="181" t="str">
        <f t="shared" si="12"/>
        <v>Casandra/Estar/CRemoto/DecoBtn0</v>
      </c>
    </row>
    <row r="193" spans="1:8" x14ac:dyDescent="0.3">
      <c r="A193" s="179" t="s">
        <v>53</v>
      </c>
      <c r="B193" s="29" t="s">
        <v>349</v>
      </c>
      <c r="C193" s="29" t="s">
        <v>388</v>
      </c>
      <c r="D193" s="29" t="s">
        <v>355</v>
      </c>
      <c r="E193" s="29" t="s">
        <v>374</v>
      </c>
      <c r="F193" s="25" t="s">
        <v>365</v>
      </c>
      <c r="G193" s="29" t="s">
        <v>307</v>
      </c>
      <c r="H193" s="181" t="str">
        <f t="shared" si="12"/>
        <v>Casandra/Estar/CRemoto/DecoBtn1</v>
      </c>
    </row>
    <row r="194" spans="1:8" x14ac:dyDescent="0.3">
      <c r="A194" s="179" t="s">
        <v>53</v>
      </c>
      <c r="B194" s="29" t="s">
        <v>349</v>
      </c>
      <c r="C194" s="29" t="s">
        <v>388</v>
      </c>
      <c r="D194" s="29" t="s">
        <v>356</v>
      </c>
      <c r="E194" s="29" t="s">
        <v>374</v>
      </c>
      <c r="F194" s="25" t="s">
        <v>366</v>
      </c>
      <c r="G194" s="29" t="s">
        <v>307</v>
      </c>
      <c r="H194" s="181" t="str">
        <f t="shared" ref="H194:H201" si="13">CONCATENATE(A194,"/",B194,"/",C194,"/",D194,)</f>
        <v>Casandra/Estar/CRemoto/DecoBtn2</v>
      </c>
    </row>
    <row r="195" spans="1:8" x14ac:dyDescent="0.3">
      <c r="A195" s="179" t="s">
        <v>53</v>
      </c>
      <c r="B195" s="29" t="s">
        <v>349</v>
      </c>
      <c r="C195" s="29" t="s">
        <v>388</v>
      </c>
      <c r="D195" s="29" t="s">
        <v>357</v>
      </c>
      <c r="E195" s="29" t="s">
        <v>374</v>
      </c>
      <c r="F195" s="25" t="s">
        <v>367</v>
      </c>
      <c r="G195" s="29" t="s">
        <v>307</v>
      </c>
      <c r="H195" s="181" t="str">
        <f t="shared" si="13"/>
        <v>Casandra/Estar/CRemoto/DecoBtn3</v>
      </c>
    </row>
    <row r="196" spans="1:8" x14ac:dyDescent="0.3">
      <c r="A196" s="179" t="s">
        <v>53</v>
      </c>
      <c r="B196" s="29" t="s">
        <v>349</v>
      </c>
      <c r="C196" s="29" t="s">
        <v>388</v>
      </c>
      <c r="D196" s="29" t="s">
        <v>358</v>
      </c>
      <c r="E196" s="29" t="s">
        <v>374</v>
      </c>
      <c r="F196" s="25" t="s">
        <v>368</v>
      </c>
      <c r="G196" s="29" t="s">
        <v>307</v>
      </c>
      <c r="H196" s="181" t="str">
        <f t="shared" si="13"/>
        <v>Casandra/Estar/CRemoto/DecoBtn4</v>
      </c>
    </row>
    <row r="197" spans="1:8" x14ac:dyDescent="0.3">
      <c r="A197" s="179" t="s">
        <v>53</v>
      </c>
      <c r="B197" s="29" t="s">
        <v>349</v>
      </c>
      <c r="C197" s="29" t="s">
        <v>388</v>
      </c>
      <c r="D197" s="29" t="s">
        <v>359</v>
      </c>
      <c r="E197" s="29" t="s">
        <v>374</v>
      </c>
      <c r="F197" s="25" t="s">
        <v>369</v>
      </c>
      <c r="G197" s="29" t="s">
        <v>307</v>
      </c>
      <c r="H197" s="181" t="str">
        <f t="shared" si="13"/>
        <v>Casandra/Estar/CRemoto/DecoBtn5</v>
      </c>
    </row>
    <row r="198" spans="1:8" x14ac:dyDescent="0.3">
      <c r="A198" s="179" t="s">
        <v>53</v>
      </c>
      <c r="B198" s="29" t="s">
        <v>349</v>
      </c>
      <c r="C198" s="29" t="s">
        <v>388</v>
      </c>
      <c r="D198" s="29" t="s">
        <v>360</v>
      </c>
      <c r="E198" s="29" t="s">
        <v>374</v>
      </c>
      <c r="F198" s="25" t="s">
        <v>370</v>
      </c>
      <c r="G198" s="29" t="s">
        <v>307</v>
      </c>
      <c r="H198" s="181" t="str">
        <f t="shared" si="13"/>
        <v>Casandra/Estar/CRemoto/DecoBtn6</v>
      </c>
    </row>
    <row r="199" spans="1:8" x14ac:dyDescent="0.3">
      <c r="A199" s="179" t="s">
        <v>53</v>
      </c>
      <c r="B199" s="29" t="s">
        <v>349</v>
      </c>
      <c r="C199" s="29" t="s">
        <v>388</v>
      </c>
      <c r="D199" s="29" t="s">
        <v>361</v>
      </c>
      <c r="E199" s="29" t="s">
        <v>374</v>
      </c>
      <c r="F199" s="25" t="s">
        <v>371</v>
      </c>
      <c r="G199" s="29" t="s">
        <v>307</v>
      </c>
      <c r="H199" s="181" t="str">
        <f t="shared" si="13"/>
        <v>Casandra/Estar/CRemoto/DecoBtn7</v>
      </c>
    </row>
    <row r="200" spans="1:8" x14ac:dyDescent="0.3">
      <c r="A200" s="179" t="s">
        <v>53</v>
      </c>
      <c r="B200" s="29" t="s">
        <v>349</v>
      </c>
      <c r="C200" s="29" t="s">
        <v>388</v>
      </c>
      <c r="D200" s="29" t="s">
        <v>362</v>
      </c>
      <c r="E200" s="29" t="s">
        <v>374</v>
      </c>
      <c r="F200" s="25" t="s">
        <v>372</v>
      </c>
      <c r="G200" s="29" t="s">
        <v>307</v>
      </c>
      <c r="H200" s="181" t="str">
        <f t="shared" si="13"/>
        <v>Casandra/Estar/CRemoto/DecoBtn8</v>
      </c>
    </row>
    <row r="201" spans="1:8" x14ac:dyDescent="0.3">
      <c r="A201" s="179" t="s">
        <v>53</v>
      </c>
      <c r="B201" s="29" t="s">
        <v>349</v>
      </c>
      <c r="C201" s="29" t="s">
        <v>388</v>
      </c>
      <c r="D201" s="29" t="s">
        <v>363</v>
      </c>
      <c r="E201" s="29" t="s">
        <v>374</v>
      </c>
      <c r="F201" s="25" t="s">
        <v>373</v>
      </c>
      <c r="G201" s="29" t="s">
        <v>307</v>
      </c>
      <c r="H201" s="181" t="str">
        <f t="shared" si="13"/>
        <v>Casandra/Estar/CRemoto/DecoBtn9</v>
      </c>
    </row>
    <row r="202" spans="1:8" x14ac:dyDescent="0.3">
      <c r="A202" s="179" t="s">
        <v>53</v>
      </c>
      <c r="B202" s="29" t="s">
        <v>349</v>
      </c>
      <c r="C202" s="29" t="s">
        <v>388</v>
      </c>
      <c r="D202" s="29" t="s">
        <v>462</v>
      </c>
      <c r="E202" s="29" t="s">
        <v>374</v>
      </c>
      <c r="F202" s="25" t="s">
        <v>454</v>
      </c>
      <c r="G202" s="29" t="s">
        <v>307</v>
      </c>
      <c r="H202" s="181" t="str">
        <f t="shared" si="12"/>
        <v>Casandra/Estar/CRemoto/DecoBtnOk</v>
      </c>
    </row>
    <row r="203" spans="1:8" x14ac:dyDescent="0.3">
      <c r="A203" s="179" t="s">
        <v>53</v>
      </c>
      <c r="B203" s="29" t="s">
        <v>349</v>
      </c>
      <c r="C203" s="29" t="s">
        <v>388</v>
      </c>
      <c r="D203" s="29" t="s">
        <v>433</v>
      </c>
      <c r="E203" s="29" t="s">
        <v>374</v>
      </c>
      <c r="F203" s="25" t="s">
        <v>455</v>
      </c>
      <c r="G203" s="29" t="s">
        <v>307</v>
      </c>
      <c r="H203" s="181" t="str">
        <f t="shared" si="12"/>
        <v>Casandra/Estar/CRemoto/DecoBtnUp</v>
      </c>
    </row>
    <row r="204" spans="1:8" x14ac:dyDescent="0.3">
      <c r="A204" s="179" t="s">
        <v>53</v>
      </c>
      <c r="B204" s="29" t="s">
        <v>349</v>
      </c>
      <c r="C204" s="29" t="s">
        <v>388</v>
      </c>
      <c r="D204" s="29" t="s">
        <v>434</v>
      </c>
      <c r="E204" s="29" t="s">
        <v>374</v>
      </c>
      <c r="F204" s="25" t="s">
        <v>456</v>
      </c>
      <c r="G204" s="29" t="s">
        <v>307</v>
      </c>
      <c r="H204" s="181" t="str">
        <f t="shared" si="12"/>
        <v>Casandra/Estar/CRemoto/DecoBtnDw</v>
      </c>
    </row>
    <row r="205" spans="1:8" x14ac:dyDescent="0.3">
      <c r="A205" s="179" t="s">
        <v>53</v>
      </c>
      <c r="B205" s="29" t="s">
        <v>349</v>
      </c>
      <c r="C205" s="29" t="s">
        <v>388</v>
      </c>
      <c r="D205" s="29" t="s">
        <v>435</v>
      </c>
      <c r="E205" s="29" t="s">
        <v>374</v>
      </c>
      <c r="F205" s="25" t="s">
        <v>457</v>
      </c>
      <c r="G205" s="29" t="s">
        <v>307</v>
      </c>
      <c r="H205" s="181" t="str">
        <f t="shared" si="12"/>
        <v>Casandra/Estar/CRemoto/DecoBtnDe</v>
      </c>
    </row>
    <row r="206" spans="1:8" x14ac:dyDescent="0.3">
      <c r="A206" s="179" t="s">
        <v>53</v>
      </c>
      <c r="B206" s="29" t="s">
        <v>349</v>
      </c>
      <c r="C206" s="29" t="s">
        <v>388</v>
      </c>
      <c r="D206" s="29" t="s">
        <v>436</v>
      </c>
      <c r="E206" s="29" t="s">
        <v>374</v>
      </c>
      <c r="F206" s="25" t="s">
        <v>458</v>
      </c>
      <c r="G206" s="29" t="s">
        <v>307</v>
      </c>
      <c r="H206" s="181" t="str">
        <f t="shared" si="12"/>
        <v>Casandra/Estar/CRemoto/DecoBtnIz</v>
      </c>
    </row>
    <row r="207" spans="1:8" x14ac:dyDescent="0.3">
      <c r="A207" s="179" t="s">
        <v>53</v>
      </c>
      <c r="B207" s="29" t="s">
        <v>349</v>
      </c>
      <c r="C207" s="29" t="s">
        <v>388</v>
      </c>
      <c r="D207" s="29" t="s">
        <v>437</v>
      </c>
      <c r="E207" s="29" t="s">
        <v>374</v>
      </c>
      <c r="F207" s="25" t="s">
        <v>459</v>
      </c>
      <c r="G207" s="29" t="s">
        <v>307</v>
      </c>
      <c r="H207" s="181" t="str">
        <f t="shared" si="12"/>
        <v>Casandra/Estar/CRemoto/DecoBtnMute</v>
      </c>
    </row>
    <row r="208" spans="1:8" x14ac:dyDescent="0.3">
      <c r="A208" s="179" t="s">
        <v>53</v>
      </c>
      <c r="B208" s="29" t="s">
        <v>349</v>
      </c>
      <c r="C208" s="29" t="s">
        <v>388</v>
      </c>
      <c r="D208" s="29" t="s">
        <v>438</v>
      </c>
      <c r="E208" s="29" t="s">
        <v>374</v>
      </c>
      <c r="F208" s="25" t="s">
        <v>460</v>
      </c>
      <c r="G208" s="29" t="s">
        <v>307</v>
      </c>
      <c r="H208" s="181" t="str">
        <f t="shared" si="12"/>
        <v>Casandra/Estar/CRemoto/DecoBtnGuide</v>
      </c>
    </row>
    <row r="209" spans="1:8" x14ac:dyDescent="0.3">
      <c r="A209" s="179" t="s">
        <v>53</v>
      </c>
      <c r="B209" s="29" t="s">
        <v>349</v>
      </c>
      <c r="C209" s="29" t="s">
        <v>388</v>
      </c>
      <c r="D209" s="29" t="s">
        <v>439</v>
      </c>
      <c r="E209" s="29" t="s">
        <v>374</v>
      </c>
      <c r="F209" s="25" t="s">
        <v>461</v>
      </c>
      <c r="G209" s="29" t="s">
        <v>307</v>
      </c>
      <c r="H209" s="181" t="str">
        <f t="shared" si="12"/>
        <v>Casandra/Estar/CRemoto/DecoBtnExit</v>
      </c>
    </row>
    <row r="210" spans="1:8" x14ac:dyDescent="0.3">
      <c r="A210" s="179" t="s">
        <v>53</v>
      </c>
      <c r="B210" s="29" t="s">
        <v>349</v>
      </c>
      <c r="C210" s="29" t="s">
        <v>389</v>
      </c>
      <c r="D210" s="29" t="s">
        <v>390</v>
      </c>
      <c r="E210" s="29" t="s">
        <v>399</v>
      </c>
      <c r="F210" s="25" t="s">
        <v>392</v>
      </c>
      <c r="G210" s="29" t="s">
        <v>307</v>
      </c>
      <c r="H210" s="181" t="str">
        <f t="shared" ref="H210:H211" si="14">CONCATENATE(A210,"/",B210,"/",C210,"/",D210,)</f>
        <v>Casandra/Estar/AA/Fan</v>
      </c>
    </row>
    <row r="211" spans="1:8" x14ac:dyDescent="0.3">
      <c r="A211" s="179" t="s">
        <v>53</v>
      </c>
      <c r="B211" s="29" t="s">
        <v>349</v>
      </c>
      <c r="C211" s="29" t="s">
        <v>389</v>
      </c>
      <c r="D211" s="29" t="s">
        <v>391</v>
      </c>
      <c r="E211" s="29" t="s">
        <v>399</v>
      </c>
      <c r="F211" s="25" t="s">
        <v>393</v>
      </c>
      <c r="G211" s="29" t="s">
        <v>307</v>
      </c>
      <c r="H211" s="181" t="str">
        <f t="shared" si="14"/>
        <v>Casandra/Estar/AA/Modo</v>
      </c>
    </row>
    <row r="212" spans="1:8" x14ac:dyDescent="0.3">
      <c r="A212" s="179" t="s">
        <v>53</v>
      </c>
      <c r="B212" s="29" t="s">
        <v>349</v>
      </c>
      <c r="C212" s="29" t="s">
        <v>389</v>
      </c>
      <c r="D212" s="29" t="s">
        <v>394</v>
      </c>
      <c r="E212" s="29" t="s">
        <v>399</v>
      </c>
      <c r="F212" s="25" t="s">
        <v>395</v>
      </c>
      <c r="G212" s="29" t="s">
        <v>307</v>
      </c>
      <c r="H212" s="181" t="str">
        <f t="shared" ref="H212" si="15">CONCATENATE(A212,"/",B212,"/",C212,"/",D212,)</f>
        <v>Casandra/Estar/AA/Swing</v>
      </c>
    </row>
    <row r="213" spans="1:8" x14ac:dyDescent="0.3">
      <c r="A213" s="179" t="s">
        <v>53</v>
      </c>
      <c r="B213" s="29" t="s">
        <v>349</v>
      </c>
      <c r="C213" s="29" t="s">
        <v>389</v>
      </c>
      <c r="D213" s="29" t="s">
        <v>396</v>
      </c>
      <c r="E213" s="29" t="s">
        <v>397</v>
      </c>
      <c r="F213" s="25" t="s">
        <v>398</v>
      </c>
      <c r="G213" s="29" t="s">
        <v>307</v>
      </c>
      <c r="H213" s="181" t="str">
        <f t="shared" ref="H213" si="16">CONCATENATE(A213,"/",B213,"/",C213,"/",D213,)</f>
        <v>Casandra/Estar/AA/TempObj</v>
      </c>
    </row>
    <row r="214" spans="1:8" ht="15" x14ac:dyDescent="0.35">
      <c r="A214" s="179" t="s">
        <v>53</v>
      </c>
      <c r="B214" s="29" t="s">
        <v>349</v>
      </c>
      <c r="C214" s="29" t="s">
        <v>248</v>
      </c>
      <c r="D214" s="29"/>
      <c r="E214" s="29" t="s">
        <v>479</v>
      </c>
      <c r="F214" s="25" t="s">
        <v>470</v>
      </c>
      <c r="G214" s="29" t="s">
        <v>307</v>
      </c>
      <c r="H214" s="181" t="str">
        <f>CONCATENATE(A214,"/",B214,"/",C214,)</f>
        <v>Casandra/Estar/Mosquito</v>
      </c>
    </row>
    <row r="215" spans="1:8" x14ac:dyDescent="0.3">
      <c r="A215" s="174" t="s">
        <v>53</v>
      </c>
      <c r="B215" s="175" t="s">
        <v>425</v>
      </c>
      <c r="C215" s="175" t="s">
        <v>426</v>
      </c>
      <c r="D215" s="175"/>
      <c r="E215" s="175" t="s">
        <v>453</v>
      </c>
      <c r="F215" s="177" t="s">
        <v>428</v>
      </c>
      <c r="G215" s="175" t="s">
        <v>307</v>
      </c>
      <c r="H215" s="178" t="str">
        <f>CONCATENATE(A215,"/",B215,"/",C215,)</f>
        <v>Casandra/Huerta/On</v>
      </c>
    </row>
    <row r="216" spans="1:8" s="29" customFormat="1" x14ac:dyDescent="0.3">
      <c r="A216" s="179" t="s">
        <v>53</v>
      </c>
      <c r="B216" s="29" t="s">
        <v>425</v>
      </c>
      <c r="C216" s="29" t="s">
        <v>427</v>
      </c>
      <c r="E216" s="29" t="s">
        <v>453</v>
      </c>
      <c r="F216" s="25" t="s">
        <v>429</v>
      </c>
      <c r="G216" s="29" t="s">
        <v>307</v>
      </c>
      <c r="H216" s="181" t="str">
        <f t="shared" ref="H216:H219" si="17">CONCATENATE(A216,"/",B216,"/",C216,)</f>
        <v>Casandra/Huerta/Off</v>
      </c>
    </row>
    <row r="217" spans="1:8" s="29" customFormat="1" x14ac:dyDescent="0.3">
      <c r="A217" s="179" t="s">
        <v>53</v>
      </c>
      <c r="B217" s="29" t="s">
        <v>425</v>
      </c>
      <c r="C217" s="29" t="s">
        <v>476</v>
      </c>
      <c r="E217" s="29" t="s">
        <v>275</v>
      </c>
      <c r="F217" s="25" t="s">
        <v>477</v>
      </c>
      <c r="G217" s="29" t="s">
        <v>307</v>
      </c>
      <c r="H217" s="181" t="str">
        <f t="shared" ref="H217" si="18">CONCATENATE(A217,"/",B217,"/",C217,)</f>
        <v>Casandra/Huerta/Bomba</v>
      </c>
    </row>
    <row r="218" spans="1:8" x14ac:dyDescent="0.3">
      <c r="A218" s="179" t="s">
        <v>53</v>
      </c>
      <c r="B218" s="29" t="s">
        <v>425</v>
      </c>
      <c r="C218" s="29" t="s">
        <v>452</v>
      </c>
      <c r="D218" s="29"/>
      <c r="E218" s="29" t="s">
        <v>275</v>
      </c>
      <c r="F218" s="25" t="s">
        <v>478</v>
      </c>
      <c r="G218" s="29" t="s">
        <v>307</v>
      </c>
      <c r="H218" s="181" t="str">
        <f t="shared" si="17"/>
        <v>Casandra/Huerta/BbaEstado</v>
      </c>
    </row>
    <row r="219" spans="1:8" ht="15" thickBot="1" x14ac:dyDescent="0.35">
      <c r="A219" s="182" t="s">
        <v>53</v>
      </c>
      <c r="B219" s="183" t="s">
        <v>425</v>
      </c>
      <c r="C219" s="183" t="s">
        <v>248</v>
      </c>
      <c r="D219" s="183"/>
      <c r="E219" s="29" t="s">
        <v>479</v>
      </c>
      <c r="F219" s="185" t="s">
        <v>471</v>
      </c>
      <c r="G219" s="183" t="s">
        <v>307</v>
      </c>
      <c r="H219" s="186" t="str">
        <f t="shared" si="17"/>
        <v>Casandra/Huerta/Mosquito</v>
      </c>
    </row>
    <row r="220" spans="1:8" x14ac:dyDescent="0.3">
      <c r="A220" s="174" t="s">
        <v>53</v>
      </c>
      <c r="B220" s="175" t="s">
        <v>463</v>
      </c>
      <c r="C220" s="175" t="s">
        <v>475</v>
      </c>
      <c r="D220" s="175"/>
      <c r="E220" s="175" t="s">
        <v>275</v>
      </c>
      <c r="F220" s="25" t="s">
        <v>481</v>
      </c>
      <c r="G220" s="175" t="s">
        <v>307</v>
      </c>
      <c r="H220" s="178" t="str">
        <f>CONCATENATE(A220,"/",B220,"/",C220,)</f>
        <v>Casandra/CocinaBis/LEDMesadaEst</v>
      </c>
    </row>
    <row r="221" spans="1:8" x14ac:dyDescent="0.3">
      <c r="A221" s="179" t="s">
        <v>53</v>
      </c>
      <c r="B221" s="29" t="s">
        <v>463</v>
      </c>
      <c r="C221" s="29" t="s">
        <v>473</v>
      </c>
      <c r="D221" s="29"/>
      <c r="E221" s="29" t="s">
        <v>302</v>
      </c>
      <c r="F221" s="25" t="s">
        <v>482</v>
      </c>
      <c r="G221" s="29" t="s">
        <v>307</v>
      </c>
      <c r="H221" s="181" t="str">
        <f t="shared" ref="H221:H226" si="19">CONCATENATE(A221,"/",B221,"/",C221,)</f>
        <v>Casandra/CocinaBis/LEDMesadaInt</v>
      </c>
    </row>
    <row r="222" spans="1:8" x14ac:dyDescent="0.3">
      <c r="A222" s="179" t="s">
        <v>53</v>
      </c>
      <c r="B222" s="29" t="s">
        <v>463</v>
      </c>
      <c r="C222" s="29" t="s">
        <v>448</v>
      </c>
      <c r="D222" s="29"/>
      <c r="E222" s="29" t="s">
        <v>489</v>
      </c>
      <c r="F222" s="25" t="s">
        <v>486</v>
      </c>
      <c r="G222" s="29" t="s">
        <v>307</v>
      </c>
      <c r="H222" s="181" t="str">
        <f t="shared" si="19"/>
        <v>Casandra/CocinaBis/ModoLED</v>
      </c>
    </row>
    <row r="223" spans="1:8" x14ac:dyDescent="0.3">
      <c r="A223" s="179" t="s">
        <v>53</v>
      </c>
      <c r="B223" s="29" t="s">
        <v>463</v>
      </c>
      <c r="C223" s="29" t="s">
        <v>449</v>
      </c>
      <c r="D223" s="29"/>
      <c r="E223" s="29" t="s">
        <v>302</v>
      </c>
      <c r="F223" s="25" t="s">
        <v>451</v>
      </c>
      <c r="G223" s="29" t="s">
        <v>307</v>
      </c>
      <c r="H223" s="181" t="str">
        <f t="shared" si="19"/>
        <v>Casandra/CocinaBis/VelocidadLED</v>
      </c>
    </row>
    <row r="224" spans="1:8" x14ac:dyDescent="0.3">
      <c r="A224" s="179" t="s">
        <v>53</v>
      </c>
      <c r="B224" s="29" t="s">
        <v>463</v>
      </c>
      <c r="C224" s="29" t="s">
        <v>474</v>
      </c>
      <c r="D224" s="29"/>
      <c r="E224" s="29" t="s">
        <v>275</v>
      </c>
      <c r="F224" s="25" t="s">
        <v>480</v>
      </c>
      <c r="G224" s="29" t="s">
        <v>307</v>
      </c>
      <c r="H224" s="181" t="str">
        <f t="shared" si="19"/>
        <v>Casandra/CocinaBis/SWPorton</v>
      </c>
    </row>
    <row r="225" spans="1:8" x14ac:dyDescent="0.3">
      <c r="A225" s="179" t="s">
        <v>53</v>
      </c>
      <c r="B225" s="29" t="s">
        <v>463</v>
      </c>
      <c r="C225" s="29" t="s">
        <v>318</v>
      </c>
      <c r="D225" s="29"/>
      <c r="E225" s="29" t="s">
        <v>275</v>
      </c>
      <c r="F225" s="25" t="s">
        <v>319</v>
      </c>
      <c r="G225" s="29" t="s">
        <v>307</v>
      </c>
      <c r="H225" s="181" t="str">
        <f t="shared" si="19"/>
        <v>Casandra/CocinaBis/LuzEntrada</v>
      </c>
    </row>
    <row r="226" spans="1:8" ht="15" thickBot="1" x14ac:dyDescent="0.35">
      <c r="A226" s="182" t="s">
        <v>53</v>
      </c>
      <c r="B226" s="183" t="s">
        <v>463</v>
      </c>
      <c r="C226" s="183" t="s">
        <v>248</v>
      </c>
      <c r="D226" s="183"/>
      <c r="E226" s="183" t="s">
        <v>479</v>
      </c>
      <c r="F226" s="185" t="s">
        <v>472</v>
      </c>
      <c r="G226" s="183" t="s">
        <v>307</v>
      </c>
      <c r="H226" s="186" t="str">
        <f t="shared" si="19"/>
        <v>Casandra/CocinaBis/Mosquito</v>
      </c>
    </row>
    <row r="227" spans="1:8" x14ac:dyDescent="0.3">
      <c r="A227" s="179"/>
      <c r="B227" s="29"/>
      <c r="C227" s="29"/>
      <c r="D227" s="29"/>
      <c r="E227" s="29"/>
      <c r="F227" s="25"/>
      <c r="G227" s="29"/>
      <c r="H227" s="181"/>
    </row>
    <row r="228" spans="1:8" x14ac:dyDescent="0.3">
      <c r="A228" s="179"/>
      <c r="B228" s="29"/>
      <c r="C228" s="29"/>
      <c r="D228" s="29"/>
      <c r="E228" s="29"/>
      <c r="F228" s="25"/>
      <c r="G228" s="29"/>
      <c r="H228" s="181"/>
    </row>
    <row r="229" spans="1:8" x14ac:dyDescent="0.3">
      <c r="A229" s="179"/>
      <c r="B229" s="29"/>
      <c r="C229" s="29"/>
      <c r="D229" s="29"/>
      <c r="E229" s="29"/>
      <c r="F229" s="25"/>
      <c r="G229" s="29"/>
      <c r="H229" s="181"/>
    </row>
    <row r="230" spans="1:8" x14ac:dyDescent="0.3">
      <c r="A230" s="179"/>
      <c r="B230" s="29"/>
      <c r="C230" s="29"/>
      <c r="D230" s="29"/>
      <c r="E230" s="29"/>
      <c r="F230" s="25"/>
      <c r="G230" s="29"/>
      <c r="H230" s="181"/>
    </row>
    <row r="231" spans="1:8" x14ac:dyDescent="0.3">
      <c r="A231" s="179"/>
      <c r="B231" s="29"/>
      <c r="C231" s="29"/>
      <c r="D231" s="29"/>
      <c r="E231" s="29"/>
      <c r="F231" s="25"/>
      <c r="G231" s="29"/>
      <c r="H231" s="181"/>
    </row>
  </sheetData>
  <phoneticPr fontId="3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22BF-FED0-41F6-808D-61809D43BC66}">
  <dimension ref="B6:Z110"/>
  <sheetViews>
    <sheetView topLeftCell="A2" workbookViewId="0">
      <selection activeCell="D17" sqref="D17"/>
    </sheetView>
  </sheetViews>
  <sheetFormatPr baseColWidth="10" defaultRowHeight="14.4" x14ac:dyDescent="0.3"/>
  <sheetData>
    <row r="6" spans="2:26" x14ac:dyDescent="0.3">
      <c r="B6" s="29" t="s">
        <v>416</v>
      </c>
      <c r="C6" s="29" t="s">
        <v>333</v>
      </c>
      <c r="D6" s="29" t="s">
        <v>334</v>
      </c>
      <c r="E6" s="29" t="s">
        <v>417</v>
      </c>
      <c r="K6" s="29" t="s">
        <v>332</v>
      </c>
      <c r="L6" s="29" t="s">
        <v>333</v>
      </c>
      <c r="M6" s="29" t="s">
        <v>334</v>
      </c>
      <c r="T6" s="29" t="s">
        <v>332</v>
      </c>
      <c r="U6" s="29" t="s">
        <v>333</v>
      </c>
      <c r="V6" s="29" t="s">
        <v>334</v>
      </c>
      <c r="Y6" s="29" t="s">
        <v>339</v>
      </c>
      <c r="Z6" s="29" t="s">
        <v>340</v>
      </c>
    </row>
    <row r="7" spans="2:26" x14ac:dyDescent="0.3">
      <c r="B7" s="29">
        <v>0</v>
      </c>
      <c r="C7" s="195">
        <f>B7/3</f>
        <v>0</v>
      </c>
      <c r="D7" s="196"/>
      <c r="G7" s="29" t="s">
        <v>335</v>
      </c>
      <c r="H7" s="29" t="s">
        <v>336</v>
      </c>
      <c r="K7" s="29">
        <v>0</v>
      </c>
      <c r="L7" s="29">
        <f xml:space="preserve"> ((K7 * 0.294) - 200)</f>
        <v>-200</v>
      </c>
      <c r="M7" s="188">
        <f xml:space="preserve"> (K7 * 0.059)</f>
        <v>0</v>
      </c>
      <c r="P7" s="29" t="s">
        <v>335</v>
      </c>
      <c r="Q7" s="29" t="s">
        <v>336</v>
      </c>
      <c r="T7" s="29">
        <v>0</v>
      </c>
      <c r="U7" s="187">
        <f>T7*0.25</f>
        <v>0</v>
      </c>
      <c r="V7">
        <f>(T7*0.095) + 23</f>
        <v>23</v>
      </c>
      <c r="X7" t="s">
        <v>337</v>
      </c>
      <c r="Y7">
        <v>200</v>
      </c>
      <c r="Z7">
        <v>50</v>
      </c>
    </row>
    <row r="8" spans="2:26" x14ac:dyDescent="0.3">
      <c r="B8" s="29">
        <v>10</v>
      </c>
      <c r="C8" s="195">
        <f t="shared" ref="C8:C16" si="0">B8/3</f>
        <v>3.3333333333333335</v>
      </c>
      <c r="D8" s="196"/>
      <c r="G8" s="29">
        <v>700</v>
      </c>
      <c r="H8" s="29">
        <v>50</v>
      </c>
      <c r="K8" s="29">
        <v>10</v>
      </c>
      <c r="L8" s="29">
        <f t="shared" ref="L8:L71" si="1" xml:space="preserve"> ((K8 * 0.294) - 200)</f>
        <v>-197.06</v>
      </c>
      <c r="M8" s="188">
        <f t="shared" ref="M8:M71" si="2" xml:space="preserve"> (K8 * 0.059)</f>
        <v>0.59</v>
      </c>
      <c r="P8" s="29">
        <v>0</v>
      </c>
      <c r="Q8" s="29">
        <v>0</v>
      </c>
      <c r="T8" s="29">
        <v>10</v>
      </c>
      <c r="U8" s="187">
        <f t="shared" ref="U8:U27" si="3">T8*0.25</f>
        <v>2.5</v>
      </c>
      <c r="V8">
        <f t="shared" ref="V8:V26" si="4">(T8*0.095) + 23</f>
        <v>23.95</v>
      </c>
      <c r="X8" t="s">
        <v>338</v>
      </c>
      <c r="Y8">
        <v>655</v>
      </c>
      <c r="Z8">
        <v>100</v>
      </c>
    </row>
    <row r="9" spans="2:26" x14ac:dyDescent="0.3">
      <c r="B9" s="29">
        <v>20</v>
      </c>
      <c r="C9" s="195">
        <f t="shared" si="0"/>
        <v>6.666666666666667</v>
      </c>
      <c r="D9" s="196"/>
      <c r="G9" s="29">
        <v>110</v>
      </c>
      <c r="H9" s="29">
        <v>34</v>
      </c>
      <c r="I9">
        <f>H9/G9</f>
        <v>0.30909090909090908</v>
      </c>
      <c r="K9" s="29">
        <v>20</v>
      </c>
      <c r="L9" s="29">
        <f t="shared" si="1"/>
        <v>-194.12</v>
      </c>
      <c r="M9" s="188">
        <f t="shared" si="2"/>
        <v>1.18</v>
      </c>
      <c r="P9" s="29">
        <v>300</v>
      </c>
      <c r="Q9" s="29">
        <v>50</v>
      </c>
      <c r="R9">
        <f>Q9/P9</f>
        <v>0.16666666666666666</v>
      </c>
      <c r="T9" s="29">
        <v>20</v>
      </c>
      <c r="U9" s="187">
        <f t="shared" si="3"/>
        <v>5</v>
      </c>
      <c r="V9">
        <f t="shared" si="4"/>
        <v>24.9</v>
      </c>
    </row>
    <row r="10" spans="2:26" x14ac:dyDescent="0.3">
      <c r="B10" s="29">
        <v>30</v>
      </c>
      <c r="C10" s="195">
        <f t="shared" si="0"/>
        <v>10</v>
      </c>
      <c r="D10" s="196"/>
      <c r="F10">
        <f>G10-G9</f>
        <v>580</v>
      </c>
      <c r="G10" s="29">
        <v>690</v>
      </c>
      <c r="H10" s="29">
        <v>49</v>
      </c>
      <c r="I10">
        <f>H10/F10</f>
        <v>8.4482758620689657E-2</v>
      </c>
      <c r="J10">
        <f>H10-H9</f>
        <v>15</v>
      </c>
      <c r="K10" s="29">
        <v>30</v>
      </c>
      <c r="L10" s="29">
        <f t="shared" si="1"/>
        <v>-191.18</v>
      </c>
      <c r="M10" s="188">
        <f t="shared" si="2"/>
        <v>1.77</v>
      </c>
      <c r="O10">
        <f>P10-P9</f>
        <v>560</v>
      </c>
      <c r="P10" s="29">
        <v>860</v>
      </c>
      <c r="Q10" s="29">
        <v>100</v>
      </c>
      <c r="R10">
        <f>Q10/O10</f>
        <v>0.17857142857142858</v>
      </c>
      <c r="T10" s="29">
        <v>30</v>
      </c>
      <c r="U10" s="187">
        <f t="shared" si="3"/>
        <v>7.5</v>
      </c>
      <c r="V10">
        <f t="shared" si="4"/>
        <v>25.85</v>
      </c>
      <c r="X10" t="s">
        <v>341</v>
      </c>
      <c r="Y10">
        <f>(Z8-Z7)/(Y8-Y7)</f>
        <v>0.10989010989010989</v>
      </c>
    </row>
    <row r="11" spans="2:26" x14ac:dyDescent="0.3">
      <c r="B11" s="29">
        <v>40</v>
      </c>
      <c r="C11" s="195">
        <f t="shared" si="0"/>
        <v>13.333333333333334</v>
      </c>
      <c r="D11" s="196"/>
      <c r="K11" s="29">
        <v>40</v>
      </c>
      <c r="L11" s="29">
        <f t="shared" si="1"/>
        <v>-188.24</v>
      </c>
      <c r="M11" s="188">
        <f t="shared" si="2"/>
        <v>2.36</v>
      </c>
      <c r="T11" s="29">
        <v>40</v>
      </c>
      <c r="U11" s="187">
        <f t="shared" si="3"/>
        <v>10</v>
      </c>
      <c r="V11">
        <f t="shared" si="4"/>
        <v>26.8</v>
      </c>
    </row>
    <row r="12" spans="2:26" x14ac:dyDescent="0.3">
      <c r="B12" s="29">
        <v>50</v>
      </c>
      <c r="C12" s="195">
        <f t="shared" si="0"/>
        <v>16.666666666666668</v>
      </c>
      <c r="D12" s="196"/>
      <c r="F12">
        <f>J10/F10</f>
        <v>2.5862068965517241E-2</v>
      </c>
      <c r="G12">
        <v>2.5862068965517241E-2</v>
      </c>
      <c r="K12" s="29">
        <v>50</v>
      </c>
      <c r="L12" s="29">
        <f t="shared" si="1"/>
        <v>-185.3</v>
      </c>
      <c r="M12" s="188">
        <f t="shared" si="2"/>
        <v>2.9499999999999997</v>
      </c>
      <c r="T12" s="29">
        <v>50</v>
      </c>
      <c r="U12" s="187">
        <f t="shared" si="3"/>
        <v>12.5</v>
      </c>
      <c r="V12">
        <f t="shared" si="4"/>
        <v>27.75</v>
      </c>
    </row>
    <row r="13" spans="2:26" x14ac:dyDescent="0.3">
      <c r="B13" s="29">
        <v>60</v>
      </c>
      <c r="C13" s="195">
        <f t="shared" si="0"/>
        <v>20</v>
      </c>
      <c r="D13" s="196"/>
      <c r="K13" s="29">
        <v>60</v>
      </c>
      <c r="L13" s="29">
        <f t="shared" si="1"/>
        <v>-182.36</v>
      </c>
      <c r="M13" s="188">
        <f t="shared" si="2"/>
        <v>3.54</v>
      </c>
      <c r="T13" s="29">
        <v>60</v>
      </c>
      <c r="U13" s="187">
        <f t="shared" si="3"/>
        <v>15</v>
      </c>
      <c r="V13">
        <f t="shared" si="4"/>
        <v>28.7</v>
      </c>
    </row>
    <row r="14" spans="2:26" x14ac:dyDescent="0.3">
      <c r="B14" s="29">
        <v>70</v>
      </c>
      <c r="C14" s="195">
        <f t="shared" si="0"/>
        <v>23.333333333333332</v>
      </c>
      <c r="D14" s="196"/>
      <c r="K14" s="29">
        <v>70</v>
      </c>
      <c r="L14" s="29">
        <f t="shared" si="1"/>
        <v>-179.42000000000002</v>
      </c>
      <c r="M14" s="188">
        <f t="shared" si="2"/>
        <v>4.13</v>
      </c>
      <c r="T14" s="29">
        <v>70</v>
      </c>
      <c r="U14" s="187">
        <f t="shared" si="3"/>
        <v>17.5</v>
      </c>
      <c r="V14">
        <f t="shared" si="4"/>
        <v>29.65</v>
      </c>
    </row>
    <row r="15" spans="2:26" x14ac:dyDescent="0.3">
      <c r="B15" s="29">
        <v>80</v>
      </c>
      <c r="C15" s="195">
        <f t="shared" si="0"/>
        <v>26.666666666666668</v>
      </c>
      <c r="D15" s="196"/>
      <c r="K15" s="29">
        <v>80</v>
      </c>
      <c r="L15" s="29">
        <f t="shared" si="1"/>
        <v>-176.48</v>
      </c>
      <c r="M15" s="188">
        <f t="shared" si="2"/>
        <v>4.72</v>
      </c>
      <c r="T15" s="29">
        <v>80</v>
      </c>
      <c r="U15" s="187">
        <f t="shared" si="3"/>
        <v>20</v>
      </c>
      <c r="V15">
        <f t="shared" si="4"/>
        <v>30.6</v>
      </c>
    </row>
    <row r="16" spans="2:26" x14ac:dyDescent="0.3">
      <c r="B16" s="29">
        <v>90</v>
      </c>
      <c r="C16" s="195">
        <f t="shared" si="0"/>
        <v>30</v>
      </c>
      <c r="D16" s="196"/>
      <c r="K16" s="29">
        <v>90</v>
      </c>
      <c r="L16" s="29">
        <f t="shared" si="1"/>
        <v>-173.54</v>
      </c>
      <c r="M16" s="188">
        <f t="shared" si="2"/>
        <v>5.31</v>
      </c>
      <c r="T16" s="29">
        <v>90</v>
      </c>
      <c r="U16" s="187">
        <f t="shared" si="3"/>
        <v>22.5</v>
      </c>
      <c r="V16">
        <f t="shared" si="4"/>
        <v>31.55</v>
      </c>
    </row>
    <row r="17" spans="2:24" x14ac:dyDescent="0.3">
      <c r="B17" s="198">
        <v>100</v>
      </c>
      <c r="C17" s="200">
        <f>B17/3</f>
        <v>33.333333333333336</v>
      </c>
      <c r="D17" s="197"/>
      <c r="K17" s="29">
        <v>100</v>
      </c>
      <c r="L17" s="29">
        <f t="shared" si="1"/>
        <v>-170.6</v>
      </c>
      <c r="M17" s="188">
        <f t="shared" si="2"/>
        <v>5.8999999999999995</v>
      </c>
      <c r="T17" s="29">
        <v>100</v>
      </c>
      <c r="U17" s="187">
        <f t="shared" si="3"/>
        <v>25</v>
      </c>
      <c r="V17">
        <f t="shared" si="4"/>
        <v>32.5</v>
      </c>
    </row>
    <row r="18" spans="2:24" x14ac:dyDescent="0.3">
      <c r="B18" s="29">
        <v>110</v>
      </c>
      <c r="C18" s="194"/>
      <c r="D18" s="201">
        <f>(B18*0.026)+31</f>
        <v>33.86</v>
      </c>
      <c r="K18" s="29">
        <v>110</v>
      </c>
      <c r="L18" s="29">
        <f t="shared" si="1"/>
        <v>-167.66</v>
      </c>
      <c r="M18" s="188">
        <f t="shared" si="2"/>
        <v>6.4899999999999993</v>
      </c>
      <c r="T18" s="29">
        <v>110</v>
      </c>
      <c r="U18" s="187">
        <f t="shared" si="3"/>
        <v>27.5</v>
      </c>
      <c r="V18">
        <f t="shared" si="4"/>
        <v>33.450000000000003</v>
      </c>
    </row>
    <row r="19" spans="2:24" x14ac:dyDescent="0.3">
      <c r="B19" s="29">
        <v>120</v>
      </c>
      <c r="C19" s="194"/>
      <c r="D19" s="202">
        <f t="shared" ref="D19:D76" si="5">(B19*0.026)+31</f>
        <v>34.119999999999997</v>
      </c>
      <c r="K19" s="29">
        <v>120</v>
      </c>
      <c r="L19" s="29">
        <f t="shared" si="1"/>
        <v>-164.72</v>
      </c>
      <c r="M19" s="188">
        <f t="shared" si="2"/>
        <v>7.08</v>
      </c>
      <c r="T19" s="29">
        <v>120</v>
      </c>
      <c r="U19" s="187">
        <f t="shared" si="3"/>
        <v>30</v>
      </c>
      <c r="V19">
        <f t="shared" si="4"/>
        <v>34.4</v>
      </c>
    </row>
    <row r="20" spans="2:24" x14ac:dyDescent="0.3">
      <c r="B20" s="29">
        <v>130</v>
      </c>
      <c r="C20" s="194"/>
      <c r="D20" s="202">
        <f t="shared" si="5"/>
        <v>34.380000000000003</v>
      </c>
      <c r="K20" s="29">
        <v>130</v>
      </c>
      <c r="L20" s="29">
        <f t="shared" si="1"/>
        <v>-161.78</v>
      </c>
      <c r="M20" s="188">
        <f t="shared" si="2"/>
        <v>7.67</v>
      </c>
      <c r="T20" s="29">
        <v>130</v>
      </c>
      <c r="U20" s="187">
        <f t="shared" si="3"/>
        <v>32.5</v>
      </c>
      <c r="V20">
        <f t="shared" si="4"/>
        <v>35.35</v>
      </c>
    </row>
    <row r="21" spans="2:24" x14ac:dyDescent="0.3">
      <c r="B21" s="29">
        <v>140</v>
      </c>
      <c r="C21" s="194"/>
      <c r="D21" s="202">
        <f t="shared" si="5"/>
        <v>34.64</v>
      </c>
      <c r="K21" s="29">
        <v>140</v>
      </c>
      <c r="L21" s="29">
        <f t="shared" si="1"/>
        <v>-158.84</v>
      </c>
      <c r="M21" s="188">
        <f t="shared" si="2"/>
        <v>8.26</v>
      </c>
      <c r="T21" s="29">
        <v>140</v>
      </c>
      <c r="U21" s="187">
        <f t="shared" si="3"/>
        <v>35</v>
      </c>
      <c r="V21">
        <f t="shared" si="4"/>
        <v>36.299999999999997</v>
      </c>
    </row>
    <row r="22" spans="2:24" x14ac:dyDescent="0.3">
      <c r="B22" s="29">
        <v>150</v>
      </c>
      <c r="C22" s="194"/>
      <c r="D22" s="202">
        <f t="shared" si="5"/>
        <v>34.9</v>
      </c>
      <c r="K22" s="29">
        <v>150</v>
      </c>
      <c r="L22" s="29">
        <f t="shared" si="1"/>
        <v>-155.9</v>
      </c>
      <c r="M22" s="188">
        <f t="shared" si="2"/>
        <v>8.85</v>
      </c>
      <c r="T22" s="29">
        <v>150</v>
      </c>
      <c r="U22" s="187">
        <f t="shared" si="3"/>
        <v>37.5</v>
      </c>
      <c r="V22">
        <f t="shared" si="4"/>
        <v>37.25</v>
      </c>
    </row>
    <row r="23" spans="2:24" x14ac:dyDescent="0.3">
      <c r="B23" s="29">
        <v>160</v>
      </c>
      <c r="C23" s="194"/>
      <c r="D23" s="202">
        <f t="shared" si="5"/>
        <v>35.159999999999997</v>
      </c>
      <c r="K23" s="29">
        <v>160</v>
      </c>
      <c r="L23" s="29">
        <f t="shared" si="1"/>
        <v>-152.96</v>
      </c>
      <c r="M23" s="188">
        <f t="shared" si="2"/>
        <v>9.44</v>
      </c>
      <c r="T23" s="29">
        <v>160</v>
      </c>
      <c r="U23" s="187">
        <f t="shared" si="3"/>
        <v>40</v>
      </c>
      <c r="V23">
        <f t="shared" si="4"/>
        <v>38.200000000000003</v>
      </c>
    </row>
    <row r="24" spans="2:24" x14ac:dyDescent="0.3">
      <c r="B24" s="29">
        <v>170</v>
      </c>
      <c r="C24" s="194"/>
      <c r="D24" s="202">
        <f t="shared" si="5"/>
        <v>35.42</v>
      </c>
      <c r="K24" s="29">
        <v>170</v>
      </c>
      <c r="L24" s="29">
        <f t="shared" si="1"/>
        <v>-150.02000000000001</v>
      </c>
      <c r="M24" s="188">
        <f t="shared" si="2"/>
        <v>10.029999999999999</v>
      </c>
      <c r="T24" s="29">
        <v>170</v>
      </c>
      <c r="U24" s="187">
        <f t="shared" si="3"/>
        <v>42.5</v>
      </c>
      <c r="V24">
        <f t="shared" si="4"/>
        <v>39.15</v>
      </c>
    </row>
    <row r="25" spans="2:24" x14ac:dyDescent="0.3">
      <c r="B25" s="29">
        <v>180</v>
      </c>
      <c r="C25" s="194"/>
      <c r="D25" s="202">
        <f t="shared" si="5"/>
        <v>35.68</v>
      </c>
      <c r="K25" s="29">
        <v>180</v>
      </c>
      <c r="L25" s="29">
        <f t="shared" si="1"/>
        <v>-147.08000000000001</v>
      </c>
      <c r="M25" s="188">
        <f t="shared" si="2"/>
        <v>10.62</v>
      </c>
      <c r="T25" s="29">
        <v>180</v>
      </c>
      <c r="U25" s="187">
        <f t="shared" si="3"/>
        <v>45</v>
      </c>
      <c r="V25">
        <f t="shared" si="4"/>
        <v>40.1</v>
      </c>
    </row>
    <row r="26" spans="2:24" x14ac:dyDescent="0.3">
      <c r="B26" s="29">
        <v>190</v>
      </c>
      <c r="C26" s="194"/>
      <c r="D26" s="202">
        <f t="shared" si="5"/>
        <v>35.94</v>
      </c>
      <c r="K26" s="29">
        <v>190</v>
      </c>
      <c r="L26" s="29">
        <f t="shared" si="1"/>
        <v>-144.13999999999999</v>
      </c>
      <c r="M26" s="188">
        <f t="shared" si="2"/>
        <v>11.209999999999999</v>
      </c>
      <c r="T26" s="29">
        <v>190</v>
      </c>
      <c r="U26" s="187">
        <f t="shared" si="3"/>
        <v>47.5</v>
      </c>
      <c r="V26">
        <f t="shared" si="4"/>
        <v>41.05</v>
      </c>
    </row>
    <row r="27" spans="2:24" x14ac:dyDescent="0.3">
      <c r="B27" s="29">
        <v>200</v>
      </c>
      <c r="C27" s="194"/>
      <c r="D27" s="202">
        <f t="shared" si="5"/>
        <v>36.200000000000003</v>
      </c>
      <c r="K27" s="29">
        <v>200</v>
      </c>
      <c r="L27" s="29">
        <f t="shared" si="1"/>
        <v>-141.19999999999999</v>
      </c>
      <c r="M27" s="188">
        <f t="shared" si="2"/>
        <v>11.799999999999999</v>
      </c>
      <c r="T27" s="189">
        <v>200</v>
      </c>
      <c r="U27" s="187">
        <f t="shared" si="3"/>
        <v>50</v>
      </c>
      <c r="V27" s="187">
        <f>(T27*0.11) + 28</f>
        <v>50</v>
      </c>
    </row>
    <row r="28" spans="2:24" x14ac:dyDescent="0.3">
      <c r="B28" s="29">
        <v>210</v>
      </c>
      <c r="C28" s="194"/>
      <c r="D28" s="202">
        <f t="shared" si="5"/>
        <v>36.46</v>
      </c>
      <c r="K28" s="29">
        <v>210</v>
      </c>
      <c r="L28" s="29">
        <f t="shared" si="1"/>
        <v>-138.26</v>
      </c>
      <c r="M28" s="188">
        <f t="shared" si="2"/>
        <v>12.389999999999999</v>
      </c>
      <c r="T28" s="29">
        <v>210</v>
      </c>
      <c r="U28" s="29">
        <f t="shared" ref="U28:U71" si="6">T28*0.167</f>
        <v>35.07</v>
      </c>
      <c r="V28" s="187">
        <f t="shared" ref="V28:V72" si="7">(T28*0.11) + 28</f>
        <v>51.1</v>
      </c>
    </row>
    <row r="29" spans="2:24" x14ac:dyDescent="0.3">
      <c r="B29" s="29">
        <v>220</v>
      </c>
      <c r="C29" s="194"/>
      <c r="D29" s="202">
        <f t="shared" si="5"/>
        <v>36.72</v>
      </c>
      <c r="K29" s="29">
        <v>220</v>
      </c>
      <c r="L29" s="29">
        <f t="shared" si="1"/>
        <v>-135.32</v>
      </c>
      <c r="M29" s="188">
        <f t="shared" si="2"/>
        <v>12.979999999999999</v>
      </c>
      <c r="T29" s="29">
        <v>220</v>
      </c>
      <c r="U29" s="29">
        <f t="shared" si="6"/>
        <v>36.74</v>
      </c>
      <c r="V29" s="187">
        <f t="shared" si="7"/>
        <v>52.2</v>
      </c>
    </row>
    <row r="30" spans="2:24" x14ac:dyDescent="0.3">
      <c r="B30" s="29">
        <v>230</v>
      </c>
      <c r="C30" s="194"/>
      <c r="D30" s="202">
        <f t="shared" si="5"/>
        <v>36.979999999999997</v>
      </c>
      <c r="K30" s="29">
        <v>230</v>
      </c>
      <c r="L30" s="29">
        <f t="shared" si="1"/>
        <v>-132.38</v>
      </c>
      <c r="M30" s="188">
        <f t="shared" si="2"/>
        <v>13.569999999999999</v>
      </c>
      <c r="T30" s="29">
        <v>230</v>
      </c>
      <c r="U30" s="29">
        <f t="shared" si="6"/>
        <v>38.410000000000004</v>
      </c>
      <c r="V30" s="187">
        <f t="shared" si="7"/>
        <v>53.3</v>
      </c>
    </row>
    <row r="31" spans="2:24" x14ac:dyDescent="0.3">
      <c r="B31" s="29">
        <v>240</v>
      </c>
      <c r="C31" s="194"/>
      <c r="D31" s="202">
        <f t="shared" si="5"/>
        <v>37.24</v>
      </c>
      <c r="K31" s="29">
        <v>240</v>
      </c>
      <c r="L31" s="29">
        <f t="shared" si="1"/>
        <v>-129.44</v>
      </c>
      <c r="M31" s="188">
        <f t="shared" si="2"/>
        <v>14.16</v>
      </c>
      <c r="T31" s="29">
        <v>240</v>
      </c>
      <c r="U31" s="29">
        <f t="shared" si="6"/>
        <v>40.080000000000005</v>
      </c>
      <c r="V31" s="187">
        <f t="shared" si="7"/>
        <v>54.4</v>
      </c>
      <c r="X31" s="29"/>
    </row>
    <row r="32" spans="2:24" x14ac:dyDescent="0.3">
      <c r="B32" s="29">
        <v>250</v>
      </c>
      <c r="C32" s="194"/>
      <c r="D32" s="202">
        <f t="shared" si="5"/>
        <v>37.5</v>
      </c>
      <c r="K32" s="29">
        <v>250</v>
      </c>
      <c r="L32" s="29">
        <f t="shared" si="1"/>
        <v>-126.5</v>
      </c>
      <c r="M32" s="188">
        <f t="shared" si="2"/>
        <v>14.75</v>
      </c>
      <c r="T32" s="29">
        <v>250</v>
      </c>
      <c r="U32" s="29">
        <f t="shared" si="6"/>
        <v>41.75</v>
      </c>
      <c r="V32" s="187">
        <f t="shared" si="7"/>
        <v>55.5</v>
      </c>
    </row>
    <row r="33" spans="2:26" x14ac:dyDescent="0.3">
      <c r="B33" s="29">
        <v>260</v>
      </c>
      <c r="C33" s="194"/>
      <c r="D33" s="202">
        <f t="shared" si="5"/>
        <v>37.76</v>
      </c>
      <c r="K33" s="29">
        <v>260</v>
      </c>
      <c r="L33" s="29">
        <f t="shared" si="1"/>
        <v>-123.56</v>
      </c>
      <c r="M33" s="188">
        <f t="shared" si="2"/>
        <v>15.34</v>
      </c>
      <c r="T33" s="29">
        <v>260</v>
      </c>
      <c r="U33" s="29">
        <f t="shared" si="6"/>
        <v>43.42</v>
      </c>
      <c r="V33" s="187">
        <f t="shared" si="7"/>
        <v>56.6</v>
      </c>
    </row>
    <row r="34" spans="2:26" x14ac:dyDescent="0.3">
      <c r="B34" s="29">
        <v>270</v>
      </c>
      <c r="C34" s="194"/>
      <c r="D34" s="202">
        <f t="shared" si="5"/>
        <v>38.019999999999996</v>
      </c>
      <c r="K34" s="29">
        <v>270</v>
      </c>
      <c r="L34" s="29">
        <f t="shared" si="1"/>
        <v>-120.62</v>
      </c>
      <c r="M34" s="188">
        <f t="shared" si="2"/>
        <v>15.93</v>
      </c>
      <c r="T34" s="29">
        <v>270</v>
      </c>
      <c r="U34" s="29">
        <f t="shared" si="6"/>
        <v>45.09</v>
      </c>
      <c r="V34" s="187">
        <f t="shared" si="7"/>
        <v>57.7</v>
      </c>
    </row>
    <row r="35" spans="2:26" x14ac:dyDescent="0.3">
      <c r="B35" s="29">
        <v>280</v>
      </c>
      <c r="C35" s="194"/>
      <c r="D35" s="202">
        <f t="shared" si="5"/>
        <v>38.28</v>
      </c>
      <c r="K35" s="29">
        <v>280</v>
      </c>
      <c r="L35" s="29">
        <f t="shared" si="1"/>
        <v>-117.68</v>
      </c>
      <c r="M35" s="188">
        <f t="shared" si="2"/>
        <v>16.52</v>
      </c>
      <c r="T35" s="29">
        <v>280</v>
      </c>
      <c r="U35" s="29">
        <f t="shared" si="6"/>
        <v>46.760000000000005</v>
      </c>
      <c r="V35" s="187">
        <f t="shared" si="7"/>
        <v>58.8</v>
      </c>
    </row>
    <row r="36" spans="2:26" x14ac:dyDescent="0.3">
      <c r="B36" s="29">
        <v>290</v>
      </c>
      <c r="C36" s="194"/>
      <c r="D36" s="202">
        <f t="shared" si="5"/>
        <v>38.54</v>
      </c>
      <c r="K36" s="29">
        <v>290</v>
      </c>
      <c r="L36" s="29">
        <f t="shared" si="1"/>
        <v>-114.74000000000001</v>
      </c>
      <c r="M36" s="188">
        <f t="shared" si="2"/>
        <v>17.11</v>
      </c>
      <c r="T36" s="29">
        <v>290</v>
      </c>
      <c r="U36" s="29">
        <f t="shared" si="6"/>
        <v>48.43</v>
      </c>
      <c r="V36" s="187">
        <f t="shared" si="7"/>
        <v>59.9</v>
      </c>
    </row>
    <row r="37" spans="2:26" x14ac:dyDescent="0.3">
      <c r="B37" s="29">
        <v>300</v>
      </c>
      <c r="C37" s="194"/>
      <c r="D37" s="202">
        <f t="shared" si="5"/>
        <v>38.799999999999997</v>
      </c>
      <c r="K37" s="29">
        <v>300</v>
      </c>
      <c r="L37" s="29">
        <f t="shared" si="1"/>
        <v>-111.80000000000001</v>
      </c>
      <c r="M37" s="188">
        <f t="shared" si="2"/>
        <v>17.7</v>
      </c>
      <c r="T37" s="29">
        <v>300</v>
      </c>
      <c r="U37" s="29">
        <f t="shared" si="6"/>
        <v>50.1</v>
      </c>
      <c r="V37" s="187">
        <f t="shared" si="7"/>
        <v>61</v>
      </c>
    </row>
    <row r="38" spans="2:26" x14ac:dyDescent="0.3">
      <c r="B38" s="29">
        <v>310</v>
      </c>
      <c r="C38" s="194"/>
      <c r="D38" s="202">
        <f t="shared" si="5"/>
        <v>39.06</v>
      </c>
      <c r="K38" s="29">
        <v>310</v>
      </c>
      <c r="L38" s="29">
        <f t="shared" si="1"/>
        <v>-108.86</v>
      </c>
      <c r="M38" s="188">
        <f t="shared" si="2"/>
        <v>18.29</v>
      </c>
      <c r="T38" s="29">
        <v>310</v>
      </c>
      <c r="U38">
        <f t="shared" si="6"/>
        <v>51.77</v>
      </c>
      <c r="V38" s="187">
        <f t="shared" si="7"/>
        <v>62.1</v>
      </c>
      <c r="Y38">
        <v>200</v>
      </c>
      <c r="Z38">
        <v>50</v>
      </c>
    </row>
    <row r="39" spans="2:26" x14ac:dyDescent="0.3">
      <c r="B39" s="29">
        <v>320</v>
      </c>
      <c r="C39" s="194"/>
      <c r="D39" s="202">
        <f t="shared" si="5"/>
        <v>39.32</v>
      </c>
      <c r="K39" s="29">
        <v>320</v>
      </c>
      <c r="L39" s="29">
        <f t="shared" si="1"/>
        <v>-105.92</v>
      </c>
      <c r="M39" s="188">
        <f t="shared" si="2"/>
        <v>18.88</v>
      </c>
      <c r="T39" s="29">
        <v>320</v>
      </c>
      <c r="U39">
        <f t="shared" si="6"/>
        <v>53.440000000000005</v>
      </c>
      <c r="V39" s="187">
        <f t="shared" si="7"/>
        <v>63.2</v>
      </c>
      <c r="Y39">
        <v>655</v>
      </c>
      <c r="Z39">
        <v>100</v>
      </c>
    </row>
    <row r="40" spans="2:26" x14ac:dyDescent="0.3">
      <c r="B40" s="29">
        <v>330</v>
      </c>
      <c r="C40" s="194"/>
      <c r="D40" s="202">
        <f t="shared" si="5"/>
        <v>39.58</v>
      </c>
      <c r="K40" s="29">
        <v>330</v>
      </c>
      <c r="L40" s="29">
        <f t="shared" si="1"/>
        <v>-102.98</v>
      </c>
      <c r="M40" s="188">
        <f t="shared" si="2"/>
        <v>19.47</v>
      </c>
      <c r="T40" s="29">
        <v>330</v>
      </c>
      <c r="U40">
        <f t="shared" si="6"/>
        <v>55.110000000000007</v>
      </c>
      <c r="V40" s="187">
        <f t="shared" si="7"/>
        <v>64.3</v>
      </c>
    </row>
    <row r="41" spans="2:26" x14ac:dyDescent="0.3">
      <c r="B41" s="29">
        <v>340</v>
      </c>
      <c r="C41" s="194"/>
      <c r="D41" s="202">
        <f t="shared" si="5"/>
        <v>39.840000000000003</v>
      </c>
      <c r="K41" s="29">
        <v>340</v>
      </c>
      <c r="L41" s="29">
        <f t="shared" si="1"/>
        <v>-100.04</v>
      </c>
      <c r="M41" s="188">
        <f t="shared" si="2"/>
        <v>20.059999999999999</v>
      </c>
      <c r="T41" s="29">
        <v>340</v>
      </c>
      <c r="U41">
        <f t="shared" si="6"/>
        <v>56.78</v>
      </c>
      <c r="V41" s="187">
        <f t="shared" si="7"/>
        <v>65.400000000000006</v>
      </c>
    </row>
    <row r="42" spans="2:26" x14ac:dyDescent="0.3">
      <c r="B42" s="29">
        <v>350</v>
      </c>
      <c r="C42" s="194"/>
      <c r="D42" s="202">
        <f t="shared" si="5"/>
        <v>40.1</v>
      </c>
      <c r="K42" s="29">
        <v>350</v>
      </c>
      <c r="L42" s="29">
        <f t="shared" si="1"/>
        <v>-97.100000000000009</v>
      </c>
      <c r="M42" s="188">
        <f t="shared" si="2"/>
        <v>20.65</v>
      </c>
      <c r="T42" s="29">
        <v>350</v>
      </c>
      <c r="U42">
        <f t="shared" si="6"/>
        <v>58.45</v>
      </c>
      <c r="V42" s="187">
        <f t="shared" si="7"/>
        <v>66.5</v>
      </c>
    </row>
    <row r="43" spans="2:26" x14ac:dyDescent="0.3">
      <c r="B43" s="29">
        <v>360</v>
      </c>
      <c r="C43" s="194"/>
      <c r="D43" s="202">
        <f t="shared" si="5"/>
        <v>40.36</v>
      </c>
      <c r="K43" s="29">
        <v>360</v>
      </c>
      <c r="L43" s="29">
        <f t="shared" si="1"/>
        <v>-94.160000000000011</v>
      </c>
      <c r="M43" s="188">
        <f t="shared" si="2"/>
        <v>21.24</v>
      </c>
      <c r="T43" s="29">
        <v>360</v>
      </c>
      <c r="U43">
        <f t="shared" si="6"/>
        <v>60.120000000000005</v>
      </c>
      <c r="V43" s="187">
        <f t="shared" si="7"/>
        <v>67.599999999999994</v>
      </c>
    </row>
    <row r="44" spans="2:26" x14ac:dyDescent="0.3">
      <c r="B44" s="29">
        <v>370</v>
      </c>
      <c r="C44" s="194"/>
      <c r="D44" s="202">
        <f t="shared" si="5"/>
        <v>40.619999999999997</v>
      </c>
      <c r="K44" s="29">
        <v>370</v>
      </c>
      <c r="L44" s="29">
        <f t="shared" si="1"/>
        <v>-91.220000000000013</v>
      </c>
      <c r="M44" s="188">
        <f t="shared" si="2"/>
        <v>21.83</v>
      </c>
      <c r="T44" s="29">
        <v>370</v>
      </c>
      <c r="U44">
        <f t="shared" si="6"/>
        <v>61.790000000000006</v>
      </c>
      <c r="V44" s="187">
        <f t="shared" si="7"/>
        <v>68.7</v>
      </c>
    </row>
    <row r="45" spans="2:26" x14ac:dyDescent="0.3">
      <c r="B45" s="29">
        <v>380</v>
      </c>
      <c r="C45" s="194"/>
      <c r="D45" s="202">
        <f t="shared" si="5"/>
        <v>40.879999999999995</v>
      </c>
      <c r="K45" s="29">
        <v>380</v>
      </c>
      <c r="L45" s="29">
        <f t="shared" si="1"/>
        <v>-88.28</v>
      </c>
      <c r="M45" s="188">
        <f t="shared" si="2"/>
        <v>22.419999999999998</v>
      </c>
      <c r="T45" s="29">
        <v>380</v>
      </c>
      <c r="U45">
        <f t="shared" si="6"/>
        <v>63.46</v>
      </c>
      <c r="V45" s="187">
        <f t="shared" si="7"/>
        <v>69.8</v>
      </c>
    </row>
    <row r="46" spans="2:26" x14ac:dyDescent="0.3">
      <c r="B46" s="29">
        <v>390</v>
      </c>
      <c r="C46" s="194"/>
      <c r="D46" s="202">
        <f t="shared" si="5"/>
        <v>41.14</v>
      </c>
      <c r="K46" s="29">
        <v>390</v>
      </c>
      <c r="L46" s="29">
        <f t="shared" si="1"/>
        <v>-85.34</v>
      </c>
      <c r="M46" s="188">
        <f t="shared" si="2"/>
        <v>23.009999999999998</v>
      </c>
      <c r="T46" s="29">
        <v>390</v>
      </c>
      <c r="U46">
        <f t="shared" si="6"/>
        <v>65.13000000000001</v>
      </c>
      <c r="V46" s="187">
        <f t="shared" si="7"/>
        <v>70.900000000000006</v>
      </c>
    </row>
    <row r="47" spans="2:26" x14ac:dyDescent="0.3">
      <c r="B47" s="29">
        <v>400</v>
      </c>
      <c r="C47" s="194"/>
      <c r="D47" s="202">
        <f t="shared" si="5"/>
        <v>41.4</v>
      </c>
      <c r="K47" s="29">
        <v>400</v>
      </c>
      <c r="L47" s="29">
        <f t="shared" si="1"/>
        <v>-82.4</v>
      </c>
      <c r="M47" s="188">
        <f t="shared" si="2"/>
        <v>23.599999999999998</v>
      </c>
      <c r="T47" s="29">
        <v>400</v>
      </c>
      <c r="U47">
        <f t="shared" si="6"/>
        <v>66.8</v>
      </c>
      <c r="V47" s="187">
        <f t="shared" si="7"/>
        <v>72</v>
      </c>
    </row>
    <row r="48" spans="2:26" x14ac:dyDescent="0.3">
      <c r="B48" s="29">
        <v>410</v>
      </c>
      <c r="C48" s="194"/>
      <c r="D48" s="202">
        <f t="shared" si="5"/>
        <v>41.66</v>
      </c>
      <c r="K48" s="29">
        <v>410</v>
      </c>
      <c r="L48" s="29">
        <f t="shared" si="1"/>
        <v>-79.460000000000008</v>
      </c>
      <c r="M48" s="188">
        <f t="shared" si="2"/>
        <v>24.189999999999998</v>
      </c>
      <c r="T48" s="29">
        <v>410</v>
      </c>
      <c r="U48">
        <f t="shared" si="6"/>
        <v>68.47</v>
      </c>
      <c r="V48" s="187">
        <f t="shared" si="7"/>
        <v>73.099999999999994</v>
      </c>
    </row>
    <row r="49" spans="2:22" x14ac:dyDescent="0.3">
      <c r="B49" s="29">
        <v>420</v>
      </c>
      <c r="C49" s="194"/>
      <c r="D49" s="202">
        <f t="shared" si="5"/>
        <v>41.92</v>
      </c>
      <c r="K49" s="29">
        <v>420</v>
      </c>
      <c r="L49" s="29">
        <f t="shared" si="1"/>
        <v>-76.52000000000001</v>
      </c>
      <c r="M49" s="188">
        <f t="shared" si="2"/>
        <v>24.779999999999998</v>
      </c>
      <c r="T49" s="29">
        <v>420</v>
      </c>
      <c r="U49">
        <f t="shared" si="6"/>
        <v>70.14</v>
      </c>
      <c r="V49" s="187">
        <f t="shared" si="7"/>
        <v>74.2</v>
      </c>
    </row>
    <row r="50" spans="2:22" x14ac:dyDescent="0.3">
      <c r="B50" s="29">
        <v>430</v>
      </c>
      <c r="C50" s="194"/>
      <c r="D50" s="202">
        <f t="shared" si="5"/>
        <v>42.18</v>
      </c>
      <c r="K50" s="29">
        <v>430</v>
      </c>
      <c r="L50" s="29">
        <f t="shared" si="1"/>
        <v>-73.580000000000013</v>
      </c>
      <c r="M50" s="188">
        <f t="shared" si="2"/>
        <v>25.369999999999997</v>
      </c>
      <c r="T50" s="29">
        <v>430</v>
      </c>
      <c r="U50">
        <f t="shared" si="6"/>
        <v>71.81</v>
      </c>
      <c r="V50" s="187">
        <f t="shared" si="7"/>
        <v>75.3</v>
      </c>
    </row>
    <row r="51" spans="2:22" x14ac:dyDescent="0.3">
      <c r="B51" s="29">
        <v>440</v>
      </c>
      <c r="C51" s="194"/>
      <c r="D51" s="202">
        <f t="shared" si="5"/>
        <v>42.44</v>
      </c>
      <c r="K51" s="29">
        <v>440</v>
      </c>
      <c r="L51" s="29">
        <f t="shared" si="1"/>
        <v>-70.640000000000015</v>
      </c>
      <c r="M51" s="188">
        <f t="shared" si="2"/>
        <v>25.959999999999997</v>
      </c>
      <c r="T51" s="29">
        <v>440</v>
      </c>
      <c r="U51">
        <f t="shared" si="6"/>
        <v>73.48</v>
      </c>
      <c r="V51" s="187">
        <f t="shared" si="7"/>
        <v>76.400000000000006</v>
      </c>
    </row>
    <row r="52" spans="2:22" x14ac:dyDescent="0.3">
      <c r="B52" s="29">
        <v>450</v>
      </c>
      <c r="C52" s="194"/>
      <c r="D52" s="202">
        <f t="shared" si="5"/>
        <v>42.7</v>
      </c>
      <c r="K52" s="29">
        <v>450</v>
      </c>
      <c r="L52" s="29">
        <f t="shared" si="1"/>
        <v>-67.700000000000017</v>
      </c>
      <c r="M52" s="188">
        <f t="shared" si="2"/>
        <v>26.549999999999997</v>
      </c>
      <c r="T52" s="29">
        <v>450</v>
      </c>
      <c r="U52">
        <f t="shared" si="6"/>
        <v>75.150000000000006</v>
      </c>
      <c r="V52" s="187">
        <f t="shared" si="7"/>
        <v>77.5</v>
      </c>
    </row>
    <row r="53" spans="2:22" x14ac:dyDescent="0.3">
      <c r="B53" s="29">
        <v>460</v>
      </c>
      <c r="C53" s="194"/>
      <c r="D53" s="202">
        <f t="shared" si="5"/>
        <v>42.96</v>
      </c>
      <c r="K53" s="29">
        <v>460</v>
      </c>
      <c r="L53" s="29">
        <f t="shared" si="1"/>
        <v>-64.760000000000019</v>
      </c>
      <c r="M53" s="188">
        <f t="shared" si="2"/>
        <v>27.139999999999997</v>
      </c>
      <c r="T53" s="29">
        <v>460</v>
      </c>
      <c r="U53">
        <f t="shared" si="6"/>
        <v>76.820000000000007</v>
      </c>
      <c r="V53" s="187">
        <f t="shared" si="7"/>
        <v>78.599999999999994</v>
      </c>
    </row>
    <row r="54" spans="2:22" x14ac:dyDescent="0.3">
      <c r="B54" s="29">
        <v>470</v>
      </c>
      <c r="C54" s="194"/>
      <c r="D54" s="202">
        <f t="shared" si="5"/>
        <v>43.22</v>
      </c>
      <c r="K54" s="29">
        <v>470</v>
      </c>
      <c r="L54" s="29">
        <f t="shared" si="1"/>
        <v>-61.820000000000022</v>
      </c>
      <c r="M54" s="188">
        <f t="shared" si="2"/>
        <v>27.729999999999997</v>
      </c>
      <c r="T54" s="29">
        <v>470</v>
      </c>
      <c r="U54">
        <f t="shared" si="6"/>
        <v>78.490000000000009</v>
      </c>
      <c r="V54" s="187">
        <f t="shared" si="7"/>
        <v>79.7</v>
      </c>
    </row>
    <row r="55" spans="2:22" x14ac:dyDescent="0.3">
      <c r="B55" s="29">
        <v>480</v>
      </c>
      <c r="C55" s="194"/>
      <c r="D55" s="202">
        <f t="shared" si="5"/>
        <v>43.48</v>
      </c>
      <c r="K55" s="29">
        <v>480</v>
      </c>
      <c r="L55" s="29">
        <f t="shared" si="1"/>
        <v>-58.879999999999995</v>
      </c>
      <c r="M55" s="188">
        <f t="shared" si="2"/>
        <v>28.32</v>
      </c>
      <c r="T55" s="29">
        <v>480</v>
      </c>
      <c r="U55">
        <f t="shared" si="6"/>
        <v>80.160000000000011</v>
      </c>
      <c r="V55" s="187">
        <f t="shared" si="7"/>
        <v>80.8</v>
      </c>
    </row>
    <row r="56" spans="2:22" x14ac:dyDescent="0.3">
      <c r="B56" s="29">
        <v>490</v>
      </c>
      <c r="C56" s="194"/>
      <c r="D56" s="202">
        <f t="shared" si="5"/>
        <v>43.74</v>
      </c>
      <c r="K56" s="29">
        <v>490</v>
      </c>
      <c r="L56" s="29">
        <f t="shared" si="1"/>
        <v>-55.94</v>
      </c>
      <c r="M56" s="188">
        <f t="shared" si="2"/>
        <v>28.91</v>
      </c>
      <c r="T56" s="29">
        <v>490</v>
      </c>
      <c r="U56">
        <f t="shared" si="6"/>
        <v>81.83</v>
      </c>
      <c r="V56" s="187">
        <f t="shared" si="7"/>
        <v>81.900000000000006</v>
      </c>
    </row>
    <row r="57" spans="2:22" x14ac:dyDescent="0.3">
      <c r="B57" s="29">
        <v>500</v>
      </c>
      <c r="C57" s="194"/>
      <c r="D57" s="202">
        <f t="shared" si="5"/>
        <v>44</v>
      </c>
      <c r="K57" s="29">
        <v>500</v>
      </c>
      <c r="L57" s="29">
        <f t="shared" si="1"/>
        <v>-53</v>
      </c>
      <c r="M57" s="188">
        <f t="shared" si="2"/>
        <v>29.5</v>
      </c>
      <c r="T57" s="29">
        <v>500</v>
      </c>
      <c r="U57">
        <f t="shared" si="6"/>
        <v>83.5</v>
      </c>
      <c r="V57" s="187">
        <f t="shared" si="7"/>
        <v>83</v>
      </c>
    </row>
    <row r="58" spans="2:22" x14ac:dyDescent="0.3">
      <c r="B58" s="29">
        <v>510</v>
      </c>
      <c r="C58" s="194"/>
      <c r="D58" s="202">
        <f t="shared" si="5"/>
        <v>44.26</v>
      </c>
      <c r="K58" s="29">
        <v>510</v>
      </c>
      <c r="L58" s="29">
        <f t="shared" si="1"/>
        <v>-50.06</v>
      </c>
      <c r="M58" s="188">
        <f t="shared" si="2"/>
        <v>30.09</v>
      </c>
      <c r="T58" s="29">
        <v>510</v>
      </c>
      <c r="U58">
        <f t="shared" si="6"/>
        <v>85.17</v>
      </c>
      <c r="V58" s="187">
        <f t="shared" si="7"/>
        <v>84.1</v>
      </c>
    </row>
    <row r="59" spans="2:22" x14ac:dyDescent="0.3">
      <c r="B59" s="29">
        <v>520</v>
      </c>
      <c r="C59" s="194"/>
      <c r="D59" s="202">
        <f t="shared" si="5"/>
        <v>44.519999999999996</v>
      </c>
      <c r="K59" s="29">
        <v>520</v>
      </c>
      <c r="L59" s="29">
        <f t="shared" si="1"/>
        <v>-47.120000000000005</v>
      </c>
      <c r="M59" s="188">
        <f t="shared" si="2"/>
        <v>30.68</v>
      </c>
      <c r="T59" s="29">
        <v>520</v>
      </c>
      <c r="U59">
        <f t="shared" si="6"/>
        <v>86.84</v>
      </c>
      <c r="V59" s="187">
        <f t="shared" si="7"/>
        <v>85.2</v>
      </c>
    </row>
    <row r="60" spans="2:22" x14ac:dyDescent="0.3">
      <c r="B60" s="29">
        <v>530</v>
      </c>
      <c r="C60" s="194"/>
      <c r="D60" s="202">
        <f t="shared" si="5"/>
        <v>44.78</v>
      </c>
      <c r="K60" s="29">
        <v>530</v>
      </c>
      <c r="L60" s="29">
        <f t="shared" si="1"/>
        <v>-44.180000000000007</v>
      </c>
      <c r="M60" s="188">
        <f t="shared" si="2"/>
        <v>31.27</v>
      </c>
      <c r="T60" s="29">
        <v>530</v>
      </c>
      <c r="U60">
        <f t="shared" si="6"/>
        <v>88.51</v>
      </c>
      <c r="V60" s="187">
        <f t="shared" si="7"/>
        <v>86.3</v>
      </c>
    </row>
    <row r="61" spans="2:22" x14ac:dyDescent="0.3">
      <c r="B61" s="29">
        <v>540</v>
      </c>
      <c r="C61" s="194"/>
      <c r="D61" s="202">
        <f t="shared" si="5"/>
        <v>45.04</v>
      </c>
      <c r="K61" s="29">
        <v>540</v>
      </c>
      <c r="L61" s="29">
        <f t="shared" si="1"/>
        <v>-41.240000000000009</v>
      </c>
      <c r="M61" s="188">
        <f t="shared" si="2"/>
        <v>31.86</v>
      </c>
      <c r="T61" s="29">
        <v>540</v>
      </c>
      <c r="U61">
        <f t="shared" si="6"/>
        <v>90.18</v>
      </c>
      <c r="V61" s="187">
        <f t="shared" si="7"/>
        <v>87.4</v>
      </c>
    </row>
    <row r="62" spans="2:22" x14ac:dyDescent="0.3">
      <c r="B62" s="29">
        <v>550</v>
      </c>
      <c r="C62" s="194"/>
      <c r="D62" s="202">
        <f t="shared" si="5"/>
        <v>45.3</v>
      </c>
      <c r="K62" s="29">
        <v>550</v>
      </c>
      <c r="L62" s="29">
        <f t="shared" si="1"/>
        <v>-38.300000000000011</v>
      </c>
      <c r="M62" s="188">
        <f t="shared" si="2"/>
        <v>32.449999999999996</v>
      </c>
      <c r="T62" s="29">
        <v>550</v>
      </c>
      <c r="U62">
        <f t="shared" si="6"/>
        <v>91.850000000000009</v>
      </c>
      <c r="V62" s="187">
        <f t="shared" si="7"/>
        <v>88.5</v>
      </c>
    </row>
    <row r="63" spans="2:22" x14ac:dyDescent="0.3">
      <c r="B63" s="29">
        <v>560</v>
      </c>
      <c r="C63" s="194"/>
      <c r="D63" s="202">
        <f t="shared" si="5"/>
        <v>45.56</v>
      </c>
      <c r="K63" s="29">
        <v>560</v>
      </c>
      <c r="L63" s="29">
        <f t="shared" si="1"/>
        <v>-35.360000000000014</v>
      </c>
      <c r="M63" s="188">
        <f t="shared" si="2"/>
        <v>33.04</v>
      </c>
      <c r="T63" s="29">
        <v>560</v>
      </c>
      <c r="U63">
        <f t="shared" si="6"/>
        <v>93.52000000000001</v>
      </c>
      <c r="V63" s="187">
        <f t="shared" si="7"/>
        <v>89.6</v>
      </c>
    </row>
    <row r="64" spans="2:22" x14ac:dyDescent="0.3">
      <c r="B64" s="29">
        <v>570</v>
      </c>
      <c r="C64" s="194"/>
      <c r="D64" s="202">
        <f t="shared" si="5"/>
        <v>45.82</v>
      </c>
      <c r="K64" s="29">
        <v>570</v>
      </c>
      <c r="L64" s="29">
        <f t="shared" si="1"/>
        <v>-32.420000000000016</v>
      </c>
      <c r="M64" s="188">
        <f t="shared" si="2"/>
        <v>33.629999999999995</v>
      </c>
      <c r="T64" s="29">
        <v>570</v>
      </c>
      <c r="U64">
        <f t="shared" si="6"/>
        <v>95.190000000000012</v>
      </c>
      <c r="V64" s="187">
        <f t="shared" si="7"/>
        <v>90.7</v>
      </c>
    </row>
    <row r="65" spans="2:22" x14ac:dyDescent="0.3">
      <c r="B65" s="29">
        <v>580</v>
      </c>
      <c r="C65" s="194"/>
      <c r="D65" s="202">
        <f t="shared" si="5"/>
        <v>46.08</v>
      </c>
      <c r="K65" s="29">
        <v>580</v>
      </c>
      <c r="L65" s="29">
        <f t="shared" si="1"/>
        <v>-29.480000000000018</v>
      </c>
      <c r="M65" s="188">
        <f t="shared" si="2"/>
        <v>34.22</v>
      </c>
      <c r="T65" s="29">
        <v>580</v>
      </c>
      <c r="U65">
        <f t="shared" si="6"/>
        <v>96.86</v>
      </c>
      <c r="V65" s="187">
        <f t="shared" si="7"/>
        <v>91.8</v>
      </c>
    </row>
    <row r="66" spans="2:22" x14ac:dyDescent="0.3">
      <c r="B66" s="29">
        <v>590</v>
      </c>
      <c r="C66" s="194"/>
      <c r="D66" s="202">
        <f t="shared" si="5"/>
        <v>46.34</v>
      </c>
      <c r="K66" s="29">
        <v>590</v>
      </c>
      <c r="L66" s="29">
        <f t="shared" si="1"/>
        <v>-26.54000000000002</v>
      </c>
      <c r="M66" s="188">
        <f t="shared" si="2"/>
        <v>34.809999999999995</v>
      </c>
      <c r="T66" s="29">
        <v>590</v>
      </c>
      <c r="U66">
        <f t="shared" si="6"/>
        <v>98.53</v>
      </c>
      <c r="V66" s="187">
        <f t="shared" si="7"/>
        <v>92.9</v>
      </c>
    </row>
    <row r="67" spans="2:22" x14ac:dyDescent="0.3">
      <c r="B67" s="29">
        <v>600</v>
      </c>
      <c r="C67" s="194"/>
      <c r="D67" s="202">
        <f t="shared" si="5"/>
        <v>46.6</v>
      </c>
      <c r="K67" s="29">
        <v>600</v>
      </c>
      <c r="L67" s="29">
        <f t="shared" si="1"/>
        <v>-23.600000000000023</v>
      </c>
      <c r="M67" s="188">
        <f t="shared" si="2"/>
        <v>35.4</v>
      </c>
      <c r="T67" s="29">
        <v>600</v>
      </c>
      <c r="U67">
        <f t="shared" si="6"/>
        <v>100.2</v>
      </c>
      <c r="V67" s="187">
        <f t="shared" si="7"/>
        <v>94</v>
      </c>
    </row>
    <row r="68" spans="2:22" x14ac:dyDescent="0.3">
      <c r="B68" s="29">
        <v>610</v>
      </c>
      <c r="C68" s="194"/>
      <c r="D68" s="202">
        <f t="shared" si="5"/>
        <v>46.86</v>
      </c>
      <c r="K68" s="29">
        <v>610</v>
      </c>
      <c r="L68" s="29">
        <f t="shared" si="1"/>
        <v>-20.659999999999997</v>
      </c>
      <c r="M68" s="188">
        <f t="shared" si="2"/>
        <v>35.989999999999995</v>
      </c>
      <c r="T68" s="29">
        <v>610</v>
      </c>
      <c r="U68">
        <f t="shared" si="6"/>
        <v>101.87</v>
      </c>
      <c r="V68" s="187">
        <f t="shared" si="7"/>
        <v>95.1</v>
      </c>
    </row>
    <row r="69" spans="2:22" x14ac:dyDescent="0.3">
      <c r="B69" s="29">
        <v>620</v>
      </c>
      <c r="C69" s="194"/>
      <c r="D69" s="202">
        <f t="shared" si="5"/>
        <v>47.120000000000005</v>
      </c>
      <c r="K69" s="29">
        <v>620</v>
      </c>
      <c r="L69" s="29">
        <f t="shared" si="1"/>
        <v>-17.72</v>
      </c>
      <c r="M69" s="188">
        <f t="shared" si="2"/>
        <v>36.58</v>
      </c>
      <c r="T69" s="29">
        <v>620</v>
      </c>
      <c r="U69">
        <f t="shared" si="6"/>
        <v>103.54</v>
      </c>
      <c r="V69" s="187">
        <f t="shared" si="7"/>
        <v>96.2</v>
      </c>
    </row>
    <row r="70" spans="2:22" x14ac:dyDescent="0.3">
      <c r="B70" s="29">
        <v>630</v>
      </c>
      <c r="C70" s="194"/>
      <c r="D70" s="202">
        <f t="shared" si="5"/>
        <v>47.379999999999995</v>
      </c>
      <c r="K70" s="29">
        <v>630</v>
      </c>
      <c r="L70" s="29">
        <f t="shared" si="1"/>
        <v>-14.780000000000001</v>
      </c>
      <c r="M70" s="188">
        <f t="shared" si="2"/>
        <v>37.169999999999995</v>
      </c>
      <c r="T70" s="29">
        <v>630</v>
      </c>
      <c r="U70">
        <f t="shared" si="6"/>
        <v>105.21000000000001</v>
      </c>
      <c r="V70" s="187">
        <f t="shared" si="7"/>
        <v>97.3</v>
      </c>
    </row>
    <row r="71" spans="2:22" x14ac:dyDescent="0.3">
      <c r="B71" s="29">
        <v>640</v>
      </c>
      <c r="C71" s="194"/>
      <c r="D71" s="202">
        <f t="shared" si="5"/>
        <v>47.64</v>
      </c>
      <c r="K71" s="29">
        <v>640</v>
      </c>
      <c r="L71" s="29">
        <f t="shared" si="1"/>
        <v>-11.840000000000003</v>
      </c>
      <c r="M71" s="188">
        <f t="shared" si="2"/>
        <v>37.76</v>
      </c>
      <c r="T71" s="29">
        <v>640</v>
      </c>
      <c r="U71">
        <f t="shared" si="6"/>
        <v>106.88000000000001</v>
      </c>
      <c r="V71" s="187">
        <f t="shared" si="7"/>
        <v>98.4</v>
      </c>
    </row>
    <row r="72" spans="2:22" x14ac:dyDescent="0.3">
      <c r="B72" s="29">
        <v>650</v>
      </c>
      <c r="C72" s="194"/>
      <c r="D72" s="202">
        <f t="shared" si="5"/>
        <v>47.9</v>
      </c>
      <c r="K72" s="29">
        <v>650</v>
      </c>
      <c r="L72" s="29">
        <f t="shared" ref="L72:L105" si="8" xml:space="preserve"> ((K72 * 0.294) - 200)</f>
        <v>-8.9000000000000057</v>
      </c>
      <c r="M72" s="188">
        <f t="shared" ref="M72:M105" si="9" xml:space="preserve"> (K72 * 0.059)</f>
        <v>38.35</v>
      </c>
      <c r="T72" s="189">
        <v>650</v>
      </c>
      <c r="U72">
        <f t="shared" ref="L72:U109" si="10">T72*0.167</f>
        <v>108.55000000000001</v>
      </c>
      <c r="V72" s="187">
        <f t="shared" si="7"/>
        <v>99.5</v>
      </c>
    </row>
    <row r="73" spans="2:22" x14ac:dyDescent="0.3">
      <c r="B73" s="29">
        <v>660</v>
      </c>
      <c r="C73" s="194"/>
      <c r="D73" s="202">
        <f t="shared" si="5"/>
        <v>48.16</v>
      </c>
      <c r="K73" s="29">
        <v>660</v>
      </c>
      <c r="L73" s="29">
        <f t="shared" si="8"/>
        <v>-5.960000000000008</v>
      </c>
      <c r="M73" s="188">
        <f t="shared" si="9"/>
        <v>38.94</v>
      </c>
      <c r="T73" s="29">
        <v>660</v>
      </c>
      <c r="U73">
        <f t="shared" si="10"/>
        <v>110.22000000000001</v>
      </c>
      <c r="V73" s="190">
        <f t="shared" ref="V73:V92" si="11">(T73*0.092) + 23</f>
        <v>83.72</v>
      </c>
    </row>
    <row r="74" spans="2:22" x14ac:dyDescent="0.3">
      <c r="B74" s="29">
        <v>670</v>
      </c>
      <c r="C74" s="194"/>
      <c r="D74" s="202">
        <f t="shared" si="5"/>
        <v>48.42</v>
      </c>
      <c r="K74" s="29">
        <v>670</v>
      </c>
      <c r="L74" s="29">
        <f t="shared" si="8"/>
        <v>-3.0200000000000102</v>
      </c>
      <c r="M74" s="188">
        <f t="shared" si="9"/>
        <v>39.53</v>
      </c>
      <c r="T74" s="29">
        <v>670</v>
      </c>
      <c r="U74">
        <f t="shared" si="10"/>
        <v>111.89</v>
      </c>
      <c r="V74" s="190">
        <f t="shared" si="11"/>
        <v>84.64</v>
      </c>
    </row>
    <row r="75" spans="2:22" x14ac:dyDescent="0.3">
      <c r="B75" s="29">
        <v>680</v>
      </c>
      <c r="C75" s="194"/>
      <c r="D75" s="202">
        <f t="shared" si="5"/>
        <v>48.68</v>
      </c>
      <c r="K75" s="29">
        <v>680</v>
      </c>
      <c r="L75" s="29">
        <f t="shared" si="8"/>
        <v>-8.0000000000012506E-2</v>
      </c>
      <c r="M75" s="188">
        <f t="shared" si="9"/>
        <v>40.119999999999997</v>
      </c>
      <c r="T75" s="29">
        <v>680</v>
      </c>
      <c r="U75">
        <f t="shared" si="10"/>
        <v>113.56</v>
      </c>
      <c r="V75" s="190">
        <f t="shared" si="11"/>
        <v>85.56</v>
      </c>
    </row>
    <row r="76" spans="2:22" x14ac:dyDescent="0.3">
      <c r="B76" s="29">
        <v>690</v>
      </c>
      <c r="C76" s="194"/>
      <c r="D76" s="201">
        <f t="shared" si="5"/>
        <v>48.94</v>
      </c>
      <c r="K76" s="29">
        <v>690</v>
      </c>
      <c r="L76" s="29">
        <f t="shared" si="8"/>
        <v>2.8599999999999852</v>
      </c>
      <c r="M76" s="188">
        <f t="shared" si="9"/>
        <v>40.71</v>
      </c>
      <c r="T76" s="29">
        <v>690</v>
      </c>
      <c r="U76">
        <f t="shared" si="10"/>
        <v>115.23</v>
      </c>
      <c r="V76" s="190">
        <f t="shared" si="11"/>
        <v>86.47999999999999</v>
      </c>
    </row>
    <row r="77" spans="2:22" x14ac:dyDescent="0.3">
      <c r="B77" s="198">
        <v>700</v>
      </c>
      <c r="C77" s="199"/>
      <c r="D77" s="197"/>
      <c r="E77" s="201">
        <f>(B77*0.157)-60</f>
        <v>49.900000000000006</v>
      </c>
      <c r="K77" s="29">
        <v>700</v>
      </c>
      <c r="L77" s="29">
        <f t="shared" si="8"/>
        <v>5.7999999999999829</v>
      </c>
      <c r="M77" s="188">
        <f t="shared" si="9"/>
        <v>41.3</v>
      </c>
      <c r="T77" s="29">
        <v>700</v>
      </c>
      <c r="U77">
        <f t="shared" si="10"/>
        <v>116.9</v>
      </c>
      <c r="V77" s="190">
        <f t="shared" si="11"/>
        <v>87.4</v>
      </c>
    </row>
    <row r="78" spans="2:22" x14ac:dyDescent="0.3">
      <c r="B78" s="29">
        <v>710</v>
      </c>
      <c r="C78" s="194"/>
      <c r="D78" s="196"/>
      <c r="E78" s="202">
        <f>(B78*0.157)-60</f>
        <v>51.47</v>
      </c>
      <c r="K78" s="29">
        <v>710</v>
      </c>
      <c r="L78" s="29">
        <f t="shared" si="8"/>
        <v>8.7399999999999807</v>
      </c>
      <c r="M78" s="188">
        <f t="shared" si="9"/>
        <v>41.89</v>
      </c>
      <c r="T78" s="29">
        <v>710</v>
      </c>
      <c r="U78">
        <f t="shared" si="10"/>
        <v>118.57000000000001</v>
      </c>
      <c r="V78" s="190">
        <f t="shared" si="11"/>
        <v>88.32</v>
      </c>
    </row>
    <row r="79" spans="2:22" x14ac:dyDescent="0.3">
      <c r="B79" s="29">
        <v>720</v>
      </c>
      <c r="C79" s="194"/>
      <c r="D79" s="196"/>
      <c r="E79" s="202">
        <f t="shared" ref="E79:E110" si="12">(B79*0.157)-60</f>
        <v>53.040000000000006</v>
      </c>
      <c r="K79" s="29">
        <v>720</v>
      </c>
      <c r="L79" s="29">
        <f t="shared" si="8"/>
        <v>11.679999999999978</v>
      </c>
      <c r="M79" s="188">
        <f t="shared" si="9"/>
        <v>42.48</v>
      </c>
      <c r="T79" s="29">
        <v>720</v>
      </c>
      <c r="U79">
        <f t="shared" si="10"/>
        <v>120.24000000000001</v>
      </c>
      <c r="V79" s="190">
        <f t="shared" si="11"/>
        <v>89.24</v>
      </c>
    </row>
    <row r="80" spans="2:22" x14ac:dyDescent="0.3">
      <c r="B80" s="29">
        <v>730</v>
      </c>
      <c r="C80" s="194"/>
      <c r="D80" s="196"/>
      <c r="E80" s="202">
        <f t="shared" si="12"/>
        <v>54.61</v>
      </c>
      <c r="K80" s="29">
        <v>730</v>
      </c>
      <c r="L80" s="29">
        <f t="shared" si="8"/>
        <v>14.619999999999976</v>
      </c>
      <c r="M80" s="188">
        <f t="shared" si="9"/>
        <v>43.07</v>
      </c>
      <c r="T80" s="29">
        <v>730</v>
      </c>
      <c r="U80">
        <f t="shared" si="10"/>
        <v>121.91000000000001</v>
      </c>
      <c r="V80" s="190">
        <f t="shared" si="11"/>
        <v>90.16</v>
      </c>
    </row>
    <row r="81" spans="2:22" x14ac:dyDescent="0.3">
      <c r="B81" s="29">
        <v>740</v>
      </c>
      <c r="C81" s="194"/>
      <c r="D81" s="196"/>
      <c r="E81" s="202">
        <f t="shared" si="12"/>
        <v>56.180000000000007</v>
      </c>
      <c r="K81" s="29">
        <v>740</v>
      </c>
      <c r="L81" s="29">
        <f t="shared" si="8"/>
        <v>17.559999999999974</v>
      </c>
      <c r="M81" s="188">
        <f t="shared" si="9"/>
        <v>43.66</v>
      </c>
      <c r="T81" s="29">
        <v>740</v>
      </c>
      <c r="U81">
        <f t="shared" si="10"/>
        <v>123.58000000000001</v>
      </c>
      <c r="V81" s="190">
        <f t="shared" si="11"/>
        <v>91.08</v>
      </c>
    </row>
    <row r="82" spans="2:22" x14ac:dyDescent="0.3">
      <c r="B82" s="29">
        <v>750</v>
      </c>
      <c r="C82" s="194"/>
      <c r="D82" s="196"/>
      <c r="E82" s="202">
        <f t="shared" si="12"/>
        <v>57.75</v>
      </c>
      <c r="K82" s="29">
        <v>750</v>
      </c>
      <c r="L82" s="29">
        <f t="shared" si="8"/>
        <v>20.5</v>
      </c>
      <c r="M82" s="188">
        <f t="shared" si="9"/>
        <v>44.25</v>
      </c>
      <c r="T82" s="29">
        <v>750</v>
      </c>
      <c r="U82">
        <f t="shared" si="10"/>
        <v>125.25000000000001</v>
      </c>
      <c r="V82" s="190">
        <f t="shared" si="11"/>
        <v>92</v>
      </c>
    </row>
    <row r="83" spans="2:22" x14ac:dyDescent="0.3">
      <c r="B83" s="29">
        <v>760</v>
      </c>
      <c r="C83" s="194"/>
      <c r="D83" s="196"/>
      <c r="E83" s="202">
        <f t="shared" si="12"/>
        <v>59.320000000000007</v>
      </c>
      <c r="K83" s="29">
        <v>760</v>
      </c>
      <c r="L83" s="29">
        <f t="shared" si="8"/>
        <v>23.439999999999998</v>
      </c>
      <c r="M83" s="188">
        <f t="shared" si="9"/>
        <v>44.839999999999996</v>
      </c>
      <c r="T83" s="29">
        <v>760</v>
      </c>
      <c r="U83">
        <f t="shared" si="10"/>
        <v>126.92</v>
      </c>
      <c r="V83" s="190">
        <f t="shared" si="11"/>
        <v>92.92</v>
      </c>
    </row>
    <row r="84" spans="2:22" x14ac:dyDescent="0.3">
      <c r="B84" s="29">
        <v>770</v>
      </c>
      <c r="C84" s="194"/>
      <c r="D84" s="196"/>
      <c r="E84" s="202">
        <f t="shared" si="12"/>
        <v>60.89</v>
      </c>
      <c r="K84" s="29">
        <v>770</v>
      </c>
      <c r="L84" s="29">
        <f t="shared" si="8"/>
        <v>26.379999999999995</v>
      </c>
      <c r="M84" s="188">
        <f t="shared" si="9"/>
        <v>45.43</v>
      </c>
      <c r="T84" s="29">
        <v>770</v>
      </c>
      <c r="U84">
        <f t="shared" si="10"/>
        <v>128.59</v>
      </c>
      <c r="V84" s="190">
        <f t="shared" si="11"/>
        <v>93.84</v>
      </c>
    </row>
    <row r="85" spans="2:22" x14ac:dyDescent="0.3">
      <c r="B85" s="29">
        <v>780</v>
      </c>
      <c r="C85" s="194"/>
      <c r="D85" s="196"/>
      <c r="E85" s="202">
        <f t="shared" si="12"/>
        <v>62.459999999999994</v>
      </c>
      <c r="K85" s="29">
        <v>780</v>
      </c>
      <c r="L85" s="29">
        <f t="shared" si="8"/>
        <v>29.319999999999993</v>
      </c>
      <c r="M85" s="188">
        <f t="shared" si="9"/>
        <v>46.019999999999996</v>
      </c>
      <c r="T85" s="29">
        <v>780</v>
      </c>
      <c r="U85">
        <f t="shared" si="10"/>
        <v>130.26000000000002</v>
      </c>
      <c r="V85" s="190">
        <f t="shared" si="11"/>
        <v>94.76</v>
      </c>
    </row>
    <row r="86" spans="2:22" x14ac:dyDescent="0.3">
      <c r="B86" s="29">
        <v>790</v>
      </c>
      <c r="C86" s="194"/>
      <c r="D86" s="196"/>
      <c r="E86" s="202">
        <f t="shared" si="12"/>
        <v>64.03</v>
      </c>
      <c r="K86" s="29">
        <v>790</v>
      </c>
      <c r="L86" s="29">
        <f t="shared" si="8"/>
        <v>32.259999999999991</v>
      </c>
      <c r="M86" s="188">
        <f t="shared" si="9"/>
        <v>46.61</v>
      </c>
      <c r="T86" s="29">
        <v>790</v>
      </c>
      <c r="U86">
        <f t="shared" si="10"/>
        <v>131.93</v>
      </c>
      <c r="V86" s="190">
        <f t="shared" si="11"/>
        <v>95.679999999999993</v>
      </c>
    </row>
    <row r="87" spans="2:22" x14ac:dyDescent="0.3">
      <c r="B87" s="29">
        <v>800</v>
      </c>
      <c r="C87" s="194"/>
      <c r="D87" s="196"/>
      <c r="E87" s="202">
        <f t="shared" si="12"/>
        <v>65.599999999999994</v>
      </c>
      <c r="K87" s="29">
        <v>800</v>
      </c>
      <c r="L87" s="29">
        <f t="shared" si="8"/>
        <v>35.199999999999989</v>
      </c>
      <c r="M87" s="188">
        <f t="shared" si="9"/>
        <v>47.199999999999996</v>
      </c>
      <c r="T87" s="29">
        <v>800</v>
      </c>
      <c r="U87">
        <f t="shared" si="10"/>
        <v>133.6</v>
      </c>
      <c r="V87" s="190">
        <f t="shared" si="11"/>
        <v>96.6</v>
      </c>
    </row>
    <row r="88" spans="2:22" x14ac:dyDescent="0.3">
      <c r="B88" s="29">
        <v>810</v>
      </c>
      <c r="C88" s="194"/>
      <c r="D88" s="196"/>
      <c r="E88" s="202">
        <f t="shared" si="12"/>
        <v>67.17</v>
      </c>
      <c r="K88" s="29">
        <v>810</v>
      </c>
      <c r="L88" s="29">
        <f t="shared" si="8"/>
        <v>38.139999999999986</v>
      </c>
      <c r="M88" s="188">
        <f t="shared" si="9"/>
        <v>47.79</v>
      </c>
      <c r="T88" s="29">
        <v>810</v>
      </c>
      <c r="U88">
        <f t="shared" si="10"/>
        <v>135.27000000000001</v>
      </c>
      <c r="V88" s="190">
        <f t="shared" si="11"/>
        <v>97.52</v>
      </c>
    </row>
    <row r="89" spans="2:22" x14ac:dyDescent="0.3">
      <c r="B89" s="29">
        <v>820</v>
      </c>
      <c r="C89" s="194"/>
      <c r="D89" s="196"/>
      <c r="E89" s="202">
        <f t="shared" si="12"/>
        <v>68.740000000000009</v>
      </c>
      <c r="K89" s="29">
        <v>820</v>
      </c>
      <c r="L89" s="29">
        <f t="shared" si="8"/>
        <v>41.079999999999984</v>
      </c>
      <c r="M89" s="188">
        <f t="shared" si="9"/>
        <v>48.379999999999995</v>
      </c>
      <c r="T89" s="29">
        <v>820</v>
      </c>
      <c r="U89">
        <f t="shared" si="10"/>
        <v>136.94</v>
      </c>
      <c r="V89" s="190">
        <f t="shared" si="11"/>
        <v>98.44</v>
      </c>
    </row>
    <row r="90" spans="2:22" x14ac:dyDescent="0.3">
      <c r="B90" s="29">
        <v>830</v>
      </c>
      <c r="C90" s="194"/>
      <c r="D90" s="196"/>
      <c r="E90" s="202">
        <f t="shared" si="12"/>
        <v>70.31</v>
      </c>
      <c r="K90" s="29">
        <v>830</v>
      </c>
      <c r="L90" s="29">
        <f t="shared" si="8"/>
        <v>44.019999999999982</v>
      </c>
      <c r="M90" s="188">
        <f t="shared" si="9"/>
        <v>48.97</v>
      </c>
      <c r="T90" s="29">
        <v>830</v>
      </c>
      <c r="U90">
        <f t="shared" si="10"/>
        <v>138.61000000000001</v>
      </c>
      <c r="V90" s="190">
        <f t="shared" si="11"/>
        <v>99.36</v>
      </c>
    </row>
    <row r="91" spans="2:22" x14ac:dyDescent="0.3">
      <c r="B91" s="29">
        <v>840</v>
      </c>
      <c r="C91" s="194"/>
      <c r="D91" s="196"/>
      <c r="E91" s="202">
        <f t="shared" si="12"/>
        <v>71.88</v>
      </c>
      <c r="K91" s="29">
        <v>840</v>
      </c>
      <c r="L91" s="29">
        <f t="shared" si="8"/>
        <v>46.95999999999998</v>
      </c>
      <c r="M91" s="188">
        <f t="shared" si="9"/>
        <v>49.559999999999995</v>
      </c>
      <c r="T91" s="29">
        <v>840</v>
      </c>
      <c r="U91">
        <f t="shared" si="10"/>
        <v>140.28</v>
      </c>
      <c r="V91" s="190">
        <f t="shared" si="11"/>
        <v>100.28</v>
      </c>
    </row>
    <row r="92" spans="2:22" x14ac:dyDescent="0.3">
      <c r="B92" s="29">
        <v>850</v>
      </c>
      <c r="C92" s="194"/>
      <c r="D92" s="196"/>
      <c r="E92" s="202">
        <f t="shared" si="12"/>
        <v>73.449999999999989</v>
      </c>
      <c r="K92" s="189">
        <v>850</v>
      </c>
      <c r="L92" s="189">
        <f t="shared" si="8"/>
        <v>49.899999999999977</v>
      </c>
      <c r="M92" s="189">
        <f t="shared" si="9"/>
        <v>50.15</v>
      </c>
      <c r="T92" s="191">
        <v>850</v>
      </c>
      <c r="U92">
        <f t="shared" si="10"/>
        <v>141.95000000000002</v>
      </c>
      <c r="V92" s="190">
        <f t="shared" si="11"/>
        <v>101.2</v>
      </c>
    </row>
    <row r="93" spans="2:22" x14ac:dyDescent="0.3">
      <c r="B93" s="29">
        <v>860</v>
      </c>
      <c r="C93" s="194"/>
      <c r="D93" s="196"/>
      <c r="E93" s="202">
        <f t="shared" si="12"/>
        <v>75.02000000000001</v>
      </c>
      <c r="K93" s="29">
        <v>860</v>
      </c>
      <c r="L93" s="188">
        <f t="shared" si="8"/>
        <v>52.839999999999975</v>
      </c>
      <c r="M93" s="29">
        <f t="shared" si="9"/>
        <v>50.739999999999995</v>
      </c>
      <c r="T93" s="29">
        <v>860</v>
      </c>
      <c r="U93">
        <f t="shared" si="10"/>
        <v>143.62</v>
      </c>
      <c r="V93">
        <f t="shared" ref="M93:V109" si="13">(T93*0.095) + 23</f>
        <v>104.7</v>
      </c>
    </row>
    <row r="94" spans="2:22" x14ac:dyDescent="0.3">
      <c r="B94" s="29">
        <v>870</v>
      </c>
      <c r="C94" s="194"/>
      <c r="D94" s="196"/>
      <c r="E94" s="202">
        <f t="shared" si="12"/>
        <v>76.59</v>
      </c>
      <c r="K94" s="29">
        <v>870</v>
      </c>
      <c r="L94" s="188">
        <f t="shared" si="8"/>
        <v>55.779999999999973</v>
      </c>
      <c r="M94" s="29">
        <f t="shared" si="9"/>
        <v>51.33</v>
      </c>
      <c r="T94" s="29">
        <v>870</v>
      </c>
      <c r="U94">
        <f t="shared" si="10"/>
        <v>145.29000000000002</v>
      </c>
      <c r="V94">
        <f t="shared" si="13"/>
        <v>105.65</v>
      </c>
    </row>
    <row r="95" spans="2:22" x14ac:dyDescent="0.3">
      <c r="B95" s="29">
        <v>880</v>
      </c>
      <c r="C95" s="194"/>
      <c r="D95" s="196"/>
      <c r="E95" s="202">
        <f t="shared" si="12"/>
        <v>78.16</v>
      </c>
      <c r="K95" s="29">
        <v>880</v>
      </c>
      <c r="L95" s="188">
        <f t="shared" si="8"/>
        <v>58.71999999999997</v>
      </c>
      <c r="M95" s="29">
        <f t="shared" si="9"/>
        <v>51.919999999999995</v>
      </c>
      <c r="T95" s="29">
        <v>880</v>
      </c>
      <c r="U95">
        <f t="shared" si="10"/>
        <v>146.96</v>
      </c>
      <c r="V95">
        <f t="shared" si="13"/>
        <v>106.6</v>
      </c>
    </row>
    <row r="96" spans="2:22" x14ac:dyDescent="0.3">
      <c r="B96" s="29">
        <v>890</v>
      </c>
      <c r="C96" s="194"/>
      <c r="D96" s="196"/>
      <c r="E96" s="202">
        <f t="shared" si="12"/>
        <v>79.72999999999999</v>
      </c>
      <c r="K96" s="29">
        <v>890</v>
      </c>
      <c r="L96" s="188">
        <f t="shared" si="8"/>
        <v>61.659999999999968</v>
      </c>
      <c r="M96" s="29">
        <f t="shared" si="9"/>
        <v>52.51</v>
      </c>
      <c r="T96" s="29">
        <v>890</v>
      </c>
      <c r="U96">
        <f t="shared" si="10"/>
        <v>148.63</v>
      </c>
      <c r="V96">
        <f t="shared" si="13"/>
        <v>107.55</v>
      </c>
    </row>
    <row r="97" spans="2:22" x14ac:dyDescent="0.3">
      <c r="B97" s="29">
        <v>900</v>
      </c>
      <c r="C97" s="194"/>
      <c r="D97" s="196"/>
      <c r="E97" s="202">
        <f t="shared" si="12"/>
        <v>81.300000000000011</v>
      </c>
      <c r="K97" s="29">
        <v>900</v>
      </c>
      <c r="L97" s="188">
        <f t="shared" si="8"/>
        <v>64.599999999999966</v>
      </c>
      <c r="M97" s="29">
        <f t="shared" si="9"/>
        <v>53.099999999999994</v>
      </c>
      <c r="T97" s="29">
        <v>900</v>
      </c>
      <c r="U97">
        <f t="shared" si="10"/>
        <v>150.30000000000001</v>
      </c>
      <c r="V97">
        <f t="shared" si="13"/>
        <v>108.5</v>
      </c>
    </row>
    <row r="98" spans="2:22" x14ac:dyDescent="0.3">
      <c r="B98" s="29">
        <v>910</v>
      </c>
      <c r="C98" s="194"/>
      <c r="D98" s="196"/>
      <c r="E98" s="202">
        <f t="shared" si="12"/>
        <v>82.87</v>
      </c>
      <c r="K98" s="29">
        <v>910</v>
      </c>
      <c r="L98" s="188">
        <f t="shared" si="8"/>
        <v>67.539999999999964</v>
      </c>
      <c r="M98" s="29">
        <f t="shared" si="9"/>
        <v>53.69</v>
      </c>
      <c r="T98" s="29">
        <v>910</v>
      </c>
      <c r="U98">
        <f t="shared" si="10"/>
        <v>151.97</v>
      </c>
      <c r="V98">
        <f t="shared" si="13"/>
        <v>109.45</v>
      </c>
    </row>
    <row r="99" spans="2:22" x14ac:dyDescent="0.3">
      <c r="B99" s="29">
        <v>920</v>
      </c>
      <c r="C99" s="194"/>
      <c r="D99" s="196"/>
      <c r="E99" s="202">
        <f t="shared" si="12"/>
        <v>84.44</v>
      </c>
      <c r="K99" s="29">
        <v>920</v>
      </c>
      <c r="L99" s="188">
        <f t="shared" si="8"/>
        <v>70.479999999999961</v>
      </c>
      <c r="M99" s="29">
        <f t="shared" si="9"/>
        <v>54.279999999999994</v>
      </c>
      <c r="T99" s="29">
        <v>920</v>
      </c>
      <c r="U99">
        <f t="shared" si="10"/>
        <v>153.64000000000001</v>
      </c>
      <c r="V99">
        <f t="shared" si="13"/>
        <v>110.4</v>
      </c>
    </row>
    <row r="100" spans="2:22" x14ac:dyDescent="0.3">
      <c r="B100" s="29">
        <v>930</v>
      </c>
      <c r="C100" s="194"/>
      <c r="D100" s="196"/>
      <c r="E100" s="202">
        <f t="shared" si="12"/>
        <v>86.009999999999991</v>
      </c>
      <c r="K100" s="29">
        <v>930</v>
      </c>
      <c r="L100" s="188">
        <f t="shared" si="8"/>
        <v>73.419999999999959</v>
      </c>
      <c r="M100" s="29">
        <f t="shared" si="9"/>
        <v>54.87</v>
      </c>
      <c r="T100" s="29">
        <v>930</v>
      </c>
      <c r="U100">
        <f t="shared" si="10"/>
        <v>155.31</v>
      </c>
      <c r="V100">
        <f t="shared" si="13"/>
        <v>111.35</v>
      </c>
    </row>
    <row r="101" spans="2:22" x14ac:dyDescent="0.3">
      <c r="B101" s="29">
        <v>940</v>
      </c>
      <c r="C101" s="194"/>
      <c r="D101" s="196"/>
      <c r="E101" s="202">
        <f t="shared" si="12"/>
        <v>87.580000000000013</v>
      </c>
      <c r="K101" s="29">
        <v>940</v>
      </c>
      <c r="L101" s="188">
        <f t="shared" si="8"/>
        <v>76.359999999999957</v>
      </c>
      <c r="M101" s="29">
        <f t="shared" si="9"/>
        <v>55.459999999999994</v>
      </c>
      <c r="T101" s="29">
        <v>940</v>
      </c>
      <c r="U101">
        <f t="shared" si="10"/>
        <v>156.98000000000002</v>
      </c>
      <c r="V101">
        <f t="shared" si="13"/>
        <v>112.3</v>
      </c>
    </row>
    <row r="102" spans="2:22" x14ac:dyDescent="0.3">
      <c r="B102" s="29">
        <v>950</v>
      </c>
      <c r="C102" s="194"/>
      <c r="D102" s="196"/>
      <c r="E102" s="202">
        <f t="shared" si="12"/>
        <v>89.15</v>
      </c>
      <c r="K102" s="29">
        <v>950</v>
      </c>
      <c r="L102" s="188">
        <f t="shared" si="8"/>
        <v>79.300000000000011</v>
      </c>
      <c r="M102" s="29">
        <f t="shared" si="9"/>
        <v>56.05</v>
      </c>
      <c r="T102" s="29">
        <v>950</v>
      </c>
      <c r="U102">
        <f t="shared" si="10"/>
        <v>158.65</v>
      </c>
      <c r="V102">
        <f t="shared" si="13"/>
        <v>113.25</v>
      </c>
    </row>
    <row r="103" spans="2:22" x14ac:dyDescent="0.3">
      <c r="B103" s="29">
        <v>960</v>
      </c>
      <c r="C103" s="194"/>
      <c r="D103" s="196"/>
      <c r="E103" s="202">
        <f t="shared" si="12"/>
        <v>90.72</v>
      </c>
      <c r="K103" s="29">
        <v>960</v>
      </c>
      <c r="L103" s="188">
        <f t="shared" si="8"/>
        <v>82.240000000000009</v>
      </c>
      <c r="M103" s="29">
        <f t="shared" si="9"/>
        <v>56.64</v>
      </c>
      <c r="T103" s="29">
        <v>960</v>
      </c>
      <c r="U103">
        <f t="shared" si="10"/>
        <v>160.32000000000002</v>
      </c>
      <c r="V103">
        <f t="shared" si="13"/>
        <v>114.2</v>
      </c>
    </row>
    <row r="104" spans="2:22" x14ac:dyDescent="0.3">
      <c r="B104" s="29">
        <v>970</v>
      </c>
      <c r="C104" s="194"/>
      <c r="D104" s="196"/>
      <c r="E104" s="202">
        <f t="shared" si="12"/>
        <v>92.289999999999992</v>
      </c>
      <c r="K104" s="29">
        <v>970</v>
      </c>
      <c r="L104" s="188">
        <f t="shared" si="8"/>
        <v>85.18</v>
      </c>
      <c r="M104" s="29">
        <f t="shared" si="9"/>
        <v>57.23</v>
      </c>
      <c r="T104" s="29">
        <v>970</v>
      </c>
      <c r="U104">
        <f t="shared" si="10"/>
        <v>161.99</v>
      </c>
      <c r="V104">
        <f t="shared" si="13"/>
        <v>115.15</v>
      </c>
    </row>
    <row r="105" spans="2:22" x14ac:dyDescent="0.3">
      <c r="B105" s="29">
        <v>980</v>
      </c>
      <c r="C105" s="194"/>
      <c r="D105" s="196"/>
      <c r="E105" s="202">
        <f t="shared" si="12"/>
        <v>93.860000000000014</v>
      </c>
      <c r="K105" s="29">
        <v>980</v>
      </c>
      <c r="L105" s="188">
        <f t="shared" si="8"/>
        <v>88.12</v>
      </c>
      <c r="M105" s="29">
        <f t="shared" si="9"/>
        <v>57.82</v>
      </c>
      <c r="T105" s="29">
        <v>980</v>
      </c>
      <c r="U105">
        <f t="shared" si="10"/>
        <v>163.66</v>
      </c>
      <c r="V105">
        <f t="shared" si="13"/>
        <v>116.1</v>
      </c>
    </row>
    <row r="106" spans="2:22" x14ac:dyDescent="0.3">
      <c r="B106" s="29">
        <v>990</v>
      </c>
      <c r="C106" s="194"/>
      <c r="D106" s="196"/>
      <c r="E106" s="202">
        <f t="shared" si="12"/>
        <v>95.43</v>
      </c>
      <c r="K106" s="29">
        <v>990</v>
      </c>
      <c r="L106">
        <f t="shared" si="10"/>
        <v>165.33</v>
      </c>
      <c r="M106">
        <f t="shared" si="13"/>
        <v>117.05</v>
      </c>
    </row>
    <row r="107" spans="2:22" x14ac:dyDescent="0.3">
      <c r="B107" s="29">
        <v>1000</v>
      </c>
      <c r="C107" s="194"/>
      <c r="D107" s="196"/>
      <c r="E107" s="202">
        <f t="shared" si="12"/>
        <v>97</v>
      </c>
      <c r="K107" s="29">
        <v>1000</v>
      </c>
      <c r="L107">
        <f t="shared" si="10"/>
        <v>167</v>
      </c>
      <c r="M107">
        <f t="shared" si="13"/>
        <v>118</v>
      </c>
    </row>
    <row r="108" spans="2:22" x14ac:dyDescent="0.3">
      <c r="B108" s="29">
        <v>1010</v>
      </c>
      <c r="C108" s="194"/>
      <c r="D108" s="196"/>
      <c r="E108" s="202">
        <f t="shared" si="12"/>
        <v>98.57</v>
      </c>
      <c r="K108" s="29">
        <v>1010</v>
      </c>
      <c r="L108">
        <f t="shared" si="10"/>
        <v>168.67000000000002</v>
      </c>
      <c r="M108">
        <f t="shared" si="13"/>
        <v>118.95</v>
      </c>
    </row>
    <row r="109" spans="2:22" x14ac:dyDescent="0.3">
      <c r="B109" s="29">
        <v>1020</v>
      </c>
      <c r="C109" s="194"/>
      <c r="D109" s="196"/>
      <c r="E109" s="201">
        <f t="shared" si="12"/>
        <v>100.14000000000001</v>
      </c>
      <c r="K109" s="29">
        <v>1020</v>
      </c>
      <c r="L109">
        <f t="shared" si="10"/>
        <v>170.34</v>
      </c>
      <c r="M109">
        <f t="shared" si="13"/>
        <v>119.9</v>
      </c>
    </row>
    <row r="110" spans="2:22" x14ac:dyDescent="0.3">
      <c r="B110" s="29">
        <v>1024</v>
      </c>
      <c r="E110" s="201">
        <f t="shared" si="12"/>
        <v>100.768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A27A-B822-47B7-95F2-B520916D5573}">
  <dimension ref="A1:B24"/>
  <sheetViews>
    <sheetView workbookViewId="0">
      <selection activeCell="B24" sqref="B24"/>
    </sheetView>
  </sheetViews>
  <sheetFormatPr baseColWidth="10" defaultRowHeight="14.4" x14ac:dyDescent="0.3"/>
  <cols>
    <col min="1" max="1" width="14.88671875" bestFit="1" customWidth="1"/>
  </cols>
  <sheetData>
    <row r="1" spans="1:2" x14ac:dyDescent="0.3">
      <c r="A1" s="192" t="s">
        <v>377</v>
      </c>
      <c r="B1" t="s">
        <v>400</v>
      </c>
    </row>
    <row r="2" spans="1:2" x14ac:dyDescent="0.3">
      <c r="A2" s="193" t="s">
        <v>378</v>
      </c>
      <c r="B2" t="s">
        <v>401</v>
      </c>
    </row>
    <row r="3" spans="1:2" x14ac:dyDescent="0.3">
      <c r="A3" s="192" t="s">
        <v>379</v>
      </c>
      <c r="B3" t="s">
        <v>402</v>
      </c>
    </row>
    <row r="4" spans="1:2" x14ac:dyDescent="0.3">
      <c r="A4" s="193" t="s">
        <v>380</v>
      </c>
      <c r="B4" t="s">
        <v>403</v>
      </c>
    </row>
    <row r="5" spans="1:2" x14ac:dyDescent="0.3">
      <c r="A5" s="192" t="s">
        <v>382</v>
      </c>
      <c r="B5" t="s">
        <v>404</v>
      </c>
    </row>
    <row r="6" spans="1:2" x14ac:dyDescent="0.3">
      <c r="A6" s="193" t="s">
        <v>381</v>
      </c>
      <c r="B6" t="s">
        <v>405</v>
      </c>
    </row>
    <row r="7" spans="1:2" x14ac:dyDescent="0.3">
      <c r="A7" s="192" t="s">
        <v>354</v>
      </c>
      <c r="B7" t="s">
        <v>406</v>
      </c>
    </row>
    <row r="8" spans="1:2" x14ac:dyDescent="0.3">
      <c r="A8" s="193" t="s">
        <v>355</v>
      </c>
      <c r="B8" t="s">
        <v>407</v>
      </c>
    </row>
    <row r="9" spans="1:2" x14ac:dyDescent="0.3">
      <c r="A9" s="192" t="s">
        <v>356</v>
      </c>
      <c r="B9" t="s">
        <v>408</v>
      </c>
    </row>
    <row r="10" spans="1:2" x14ac:dyDescent="0.3">
      <c r="A10" s="193" t="s">
        <v>357</v>
      </c>
      <c r="B10" t="s">
        <v>409</v>
      </c>
    </row>
    <row r="11" spans="1:2" x14ac:dyDescent="0.3">
      <c r="A11" s="192" t="s">
        <v>358</v>
      </c>
      <c r="B11" t="s">
        <v>410</v>
      </c>
    </row>
    <row r="12" spans="1:2" x14ac:dyDescent="0.3">
      <c r="A12" s="193" t="s">
        <v>359</v>
      </c>
      <c r="B12" t="s">
        <v>411</v>
      </c>
    </row>
    <row r="13" spans="1:2" x14ac:dyDescent="0.3">
      <c r="A13" s="192" t="s">
        <v>360</v>
      </c>
      <c r="B13" t="s">
        <v>412</v>
      </c>
    </row>
    <row r="14" spans="1:2" x14ac:dyDescent="0.3">
      <c r="A14" s="193" t="s">
        <v>361</v>
      </c>
      <c r="B14" t="s">
        <v>413</v>
      </c>
    </row>
    <row r="15" spans="1:2" x14ac:dyDescent="0.3">
      <c r="A15" s="192" t="s">
        <v>362</v>
      </c>
      <c r="B15" t="s">
        <v>414</v>
      </c>
    </row>
    <row r="16" spans="1:2" x14ac:dyDescent="0.3">
      <c r="A16" s="193" t="s">
        <v>363</v>
      </c>
      <c r="B16" t="s">
        <v>415</v>
      </c>
    </row>
    <row r="17" spans="1:2" x14ac:dyDescent="0.3">
      <c r="A17" s="29" t="s">
        <v>432</v>
      </c>
      <c r="B17" t="s">
        <v>440</v>
      </c>
    </row>
    <row r="18" spans="1:2" x14ac:dyDescent="0.3">
      <c r="A18" s="203" t="s">
        <v>433</v>
      </c>
      <c r="B18" t="s">
        <v>441</v>
      </c>
    </row>
    <row r="19" spans="1:2" x14ac:dyDescent="0.3">
      <c r="A19" s="29" t="s">
        <v>434</v>
      </c>
      <c r="B19" t="s">
        <v>442</v>
      </c>
    </row>
    <row r="20" spans="1:2" x14ac:dyDescent="0.3">
      <c r="A20" s="203" t="s">
        <v>435</v>
      </c>
      <c r="B20" s="204" t="s">
        <v>443</v>
      </c>
    </row>
    <row r="21" spans="1:2" x14ac:dyDescent="0.3">
      <c r="A21" s="29" t="s">
        <v>436</v>
      </c>
      <c r="B21" t="s">
        <v>444</v>
      </c>
    </row>
    <row r="22" spans="1:2" x14ac:dyDescent="0.3">
      <c r="A22" s="203" t="s">
        <v>437</v>
      </c>
      <c r="B22" t="s">
        <v>445</v>
      </c>
    </row>
    <row r="23" spans="1:2" x14ac:dyDescent="0.3">
      <c r="A23" s="29" t="s">
        <v>438</v>
      </c>
      <c r="B23" t="s">
        <v>446</v>
      </c>
    </row>
    <row r="24" spans="1:2" x14ac:dyDescent="0.3">
      <c r="A24" s="203" t="s">
        <v>439</v>
      </c>
      <c r="B24" t="s">
        <v>447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3"/>
  <sheetViews>
    <sheetView tabSelected="1" topLeftCell="E1" workbookViewId="0">
      <selection activeCell="R9" sqref="R9"/>
    </sheetView>
  </sheetViews>
  <sheetFormatPr baseColWidth="10" defaultRowHeight="14.4" x14ac:dyDescent="0.3"/>
  <cols>
    <col min="12" max="12" width="9.33203125" style="29" customWidth="1"/>
    <col min="13" max="13" width="4.5546875" customWidth="1"/>
    <col min="14" max="14" width="8.109375" bestFit="1" customWidth="1"/>
    <col min="15" max="15" width="11.5546875" style="25"/>
    <col min="19" max="19" width="19.33203125" bestFit="1" customWidth="1"/>
    <col min="20" max="20" width="5.77734375" bestFit="1" customWidth="1"/>
    <col min="21" max="21" width="7.6640625" bestFit="1" customWidth="1"/>
  </cols>
  <sheetData>
    <row r="2" spans="2:21" ht="15" thickBot="1" x14ac:dyDescent="0.35">
      <c r="B2" s="2" t="s">
        <v>116</v>
      </c>
      <c r="C2" s="2" t="s">
        <v>236</v>
      </c>
    </row>
    <row r="3" spans="2:21" ht="15" thickBot="1" x14ac:dyDescent="0.35">
      <c r="B3" s="3">
        <v>0.1</v>
      </c>
      <c r="C3" s="1">
        <v>27</v>
      </c>
      <c r="G3" s="126" t="s">
        <v>236</v>
      </c>
      <c r="H3" s="127" t="s">
        <v>116</v>
      </c>
      <c r="L3" s="30">
        <v>0</v>
      </c>
      <c r="M3" s="224">
        <v>1</v>
      </c>
      <c r="N3" s="222" t="s">
        <v>483</v>
      </c>
      <c r="O3" s="223">
        <f>L3-0</f>
        <v>0</v>
      </c>
      <c r="Q3" s="219" t="s">
        <v>502</v>
      </c>
      <c r="R3" s="219"/>
      <c r="S3" t="s">
        <v>490</v>
      </c>
    </row>
    <row r="4" spans="2:21" x14ac:dyDescent="0.3">
      <c r="B4" s="3">
        <v>0.2</v>
      </c>
      <c r="C4" s="1">
        <f>C3-3</f>
        <v>24</v>
      </c>
      <c r="F4" s="118"/>
      <c r="G4" s="119">
        <v>0</v>
      </c>
      <c r="H4" s="124"/>
      <c r="L4" s="30">
        <v>255</v>
      </c>
      <c r="M4" s="224"/>
      <c r="N4" s="220" t="s">
        <v>484</v>
      </c>
      <c r="O4" s="221">
        <f>L4-0</f>
        <v>255</v>
      </c>
      <c r="Q4">
        <v>0</v>
      </c>
      <c r="R4">
        <v>25</v>
      </c>
      <c r="S4" t="s">
        <v>491</v>
      </c>
      <c r="T4" t="s">
        <v>493</v>
      </c>
      <c r="U4" t="s">
        <v>497</v>
      </c>
    </row>
    <row r="5" spans="2:21" x14ac:dyDescent="0.3">
      <c r="B5" s="3">
        <v>0.3</v>
      </c>
      <c r="C5" s="1">
        <f t="shared" ref="C5:C12" si="0">C4-3</f>
        <v>21</v>
      </c>
      <c r="F5" s="118"/>
      <c r="G5" s="120">
        <v>3</v>
      </c>
      <c r="H5" s="123">
        <v>0.9</v>
      </c>
      <c r="L5" s="30">
        <v>256</v>
      </c>
      <c r="M5" s="224">
        <v>2</v>
      </c>
      <c r="N5" s="220" t="s">
        <v>483</v>
      </c>
      <c r="O5" s="221">
        <f>L5-256</f>
        <v>0</v>
      </c>
      <c r="Q5">
        <v>25</v>
      </c>
      <c r="R5">
        <v>125</v>
      </c>
      <c r="S5" t="s">
        <v>492</v>
      </c>
      <c r="T5" s="226" t="s">
        <v>494</v>
      </c>
      <c r="U5" t="s">
        <v>495</v>
      </c>
    </row>
    <row r="6" spans="2:21" x14ac:dyDescent="0.3">
      <c r="B6" s="3">
        <v>0.4</v>
      </c>
      <c r="C6" s="1">
        <f t="shared" si="0"/>
        <v>18</v>
      </c>
      <c r="F6" s="118"/>
      <c r="G6" s="120">
        <v>7</v>
      </c>
      <c r="H6" s="125"/>
      <c r="L6" s="30">
        <v>511</v>
      </c>
      <c r="M6" s="224"/>
      <c r="N6" s="220" t="s">
        <v>484</v>
      </c>
      <c r="O6" s="221">
        <f>L6-256</f>
        <v>255</v>
      </c>
      <c r="Q6">
        <v>125</v>
      </c>
      <c r="R6">
        <v>150</v>
      </c>
      <c r="S6" t="s">
        <v>496</v>
      </c>
      <c r="T6">
        <v>0</v>
      </c>
      <c r="U6" t="s">
        <v>498</v>
      </c>
    </row>
    <row r="7" spans="2:21" x14ac:dyDescent="0.3">
      <c r="B7" s="3">
        <v>0.5</v>
      </c>
      <c r="C7" s="1">
        <f t="shared" si="0"/>
        <v>15</v>
      </c>
      <c r="F7" s="118"/>
      <c r="G7" s="120">
        <v>11</v>
      </c>
      <c r="H7" s="125"/>
      <c r="L7" s="30">
        <v>512</v>
      </c>
      <c r="M7" s="224">
        <v>3</v>
      </c>
      <c r="N7" s="220" t="s">
        <v>483</v>
      </c>
      <c r="O7" s="221">
        <f>L7-512</f>
        <v>0</v>
      </c>
      <c r="Q7">
        <v>150</v>
      </c>
      <c r="R7">
        <v>250</v>
      </c>
      <c r="S7" t="s">
        <v>501</v>
      </c>
      <c r="T7" s="226" t="s">
        <v>500</v>
      </c>
      <c r="U7" t="s">
        <v>499</v>
      </c>
    </row>
    <row r="8" spans="2:21" x14ac:dyDescent="0.3">
      <c r="B8" s="3">
        <v>0.6</v>
      </c>
      <c r="C8" s="1">
        <f t="shared" si="0"/>
        <v>12</v>
      </c>
      <c r="F8" s="118"/>
      <c r="G8" s="120">
        <v>15</v>
      </c>
      <c r="H8" s="123">
        <v>0.5</v>
      </c>
      <c r="L8" s="30">
        <v>767</v>
      </c>
      <c r="M8" s="224"/>
      <c r="N8" s="220" t="s">
        <v>484</v>
      </c>
      <c r="O8" s="221">
        <f>L8-512</f>
        <v>255</v>
      </c>
      <c r="R8" t="s">
        <v>503</v>
      </c>
    </row>
    <row r="9" spans="2:21" x14ac:dyDescent="0.3">
      <c r="B9" s="3">
        <v>0.7</v>
      </c>
      <c r="C9" s="1">
        <f t="shared" si="0"/>
        <v>9</v>
      </c>
      <c r="F9" s="118"/>
      <c r="G9" s="120">
        <v>19</v>
      </c>
      <c r="H9" s="125"/>
      <c r="L9" s="30">
        <v>768</v>
      </c>
      <c r="M9" s="224">
        <v>4</v>
      </c>
      <c r="N9" s="220" t="s">
        <v>483</v>
      </c>
      <c r="O9" s="221">
        <f>L9-768</f>
        <v>0</v>
      </c>
    </row>
    <row r="10" spans="2:21" x14ac:dyDescent="0.3">
      <c r="B10" s="3">
        <v>0.8</v>
      </c>
      <c r="C10" s="1">
        <f t="shared" si="0"/>
        <v>6</v>
      </c>
      <c r="F10" s="118"/>
      <c r="G10" s="120">
        <v>23</v>
      </c>
      <c r="H10" s="125"/>
      <c r="L10" s="30">
        <v>1023</v>
      </c>
      <c r="M10" s="224"/>
      <c r="N10" s="220" t="s">
        <v>484</v>
      </c>
      <c r="O10" s="221">
        <f>L10-768</f>
        <v>255</v>
      </c>
    </row>
    <row r="11" spans="2:21" x14ac:dyDescent="0.3">
      <c r="B11" s="3">
        <v>0.9</v>
      </c>
      <c r="C11" s="1">
        <f t="shared" si="0"/>
        <v>3</v>
      </c>
      <c r="F11" s="118"/>
      <c r="G11" s="120">
        <v>27</v>
      </c>
      <c r="H11" s="123">
        <v>0.1</v>
      </c>
      <c r="L11" s="30">
        <v>1024</v>
      </c>
      <c r="M11" s="224">
        <v>5</v>
      </c>
      <c r="N11" s="220" t="s">
        <v>483</v>
      </c>
      <c r="O11" s="221">
        <f>L11-1024</f>
        <v>0</v>
      </c>
    </row>
    <row r="12" spans="2:21" x14ac:dyDescent="0.3">
      <c r="B12" s="4">
        <v>1</v>
      </c>
      <c r="C12" s="5">
        <f t="shared" si="0"/>
        <v>0</v>
      </c>
      <c r="F12" s="118"/>
      <c r="G12" s="120">
        <v>31</v>
      </c>
      <c r="H12" s="125"/>
      <c r="L12" s="30">
        <v>1279</v>
      </c>
      <c r="M12" s="224"/>
      <c r="N12" s="220" t="s">
        <v>484</v>
      </c>
      <c r="O12" s="221">
        <f>L12-1024</f>
        <v>255</v>
      </c>
    </row>
    <row r="13" spans="2:21" ht="15" thickBot="1" x14ac:dyDescent="0.35">
      <c r="B13" s="6">
        <v>0</v>
      </c>
      <c r="C13" s="7">
        <v>95</v>
      </c>
      <c r="F13" s="118"/>
      <c r="G13" s="121">
        <v>35</v>
      </c>
      <c r="H13" s="112" t="s">
        <v>238</v>
      </c>
      <c r="L13" s="30">
        <v>1280</v>
      </c>
      <c r="M13" s="224">
        <v>6</v>
      </c>
      <c r="N13" s="220" t="s">
        <v>483</v>
      </c>
      <c r="O13" s="221">
        <f>L13-1280</f>
        <v>0</v>
      </c>
    </row>
    <row r="14" spans="2:21" x14ac:dyDescent="0.3">
      <c r="F14" s="118"/>
      <c r="G14" s="122">
        <v>39</v>
      </c>
      <c r="H14" s="124"/>
      <c r="L14" s="30">
        <v>1535</v>
      </c>
      <c r="M14" s="224"/>
      <c r="N14" s="220" t="s">
        <v>484</v>
      </c>
      <c r="O14" s="221">
        <f>L14-1280</f>
        <v>255</v>
      </c>
    </row>
    <row r="15" spans="2:21" x14ac:dyDescent="0.3">
      <c r="F15" s="118"/>
      <c r="G15" s="120">
        <v>43</v>
      </c>
      <c r="H15" s="123">
        <v>0.9</v>
      </c>
      <c r="L15" s="30">
        <v>1536</v>
      </c>
      <c r="M15" s="31"/>
      <c r="N15" s="222" t="s">
        <v>485</v>
      </c>
      <c r="O15" s="223">
        <v>0</v>
      </c>
    </row>
    <row r="16" spans="2:21" x14ac:dyDescent="0.3">
      <c r="F16" s="118"/>
      <c r="G16" s="120">
        <v>47</v>
      </c>
      <c r="H16" s="125"/>
    </row>
    <row r="17" spans="6:8" x14ac:dyDescent="0.3">
      <c r="F17" s="118"/>
      <c r="G17" s="120">
        <v>51</v>
      </c>
      <c r="H17" s="125"/>
    </row>
    <row r="18" spans="6:8" x14ac:dyDescent="0.3">
      <c r="F18" s="118"/>
      <c r="G18" s="120">
        <v>55</v>
      </c>
      <c r="H18" s="123">
        <v>0.5</v>
      </c>
    </row>
    <row r="19" spans="6:8" x14ac:dyDescent="0.3">
      <c r="F19" s="118"/>
      <c r="G19" s="120">
        <v>59</v>
      </c>
      <c r="H19" s="125"/>
    </row>
    <row r="20" spans="6:8" x14ac:dyDescent="0.3">
      <c r="F20" s="118"/>
      <c r="G20" s="120">
        <v>63</v>
      </c>
      <c r="H20" s="125"/>
    </row>
    <row r="21" spans="6:8" x14ac:dyDescent="0.3">
      <c r="F21" s="118"/>
      <c r="G21" s="120">
        <v>67</v>
      </c>
      <c r="H21" s="123">
        <v>0.1</v>
      </c>
    </row>
    <row r="22" spans="6:8" x14ac:dyDescent="0.3">
      <c r="F22" s="118"/>
      <c r="G22" s="120">
        <v>71</v>
      </c>
      <c r="H22" s="125"/>
    </row>
    <row r="23" spans="6:8" ht="15" thickBot="1" x14ac:dyDescent="0.35">
      <c r="F23" s="118"/>
      <c r="G23" s="121">
        <v>75</v>
      </c>
      <c r="H23" s="112" t="s">
        <v>237</v>
      </c>
    </row>
  </sheetData>
  <mergeCells count="7">
    <mergeCell ref="Q3:R3"/>
    <mergeCell ref="M3:M4"/>
    <mergeCell ref="M5:M6"/>
    <mergeCell ref="M7:M8"/>
    <mergeCell ref="M9:M10"/>
    <mergeCell ref="M11:M12"/>
    <mergeCell ref="M13:M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C0C0"/>
  </sheetPr>
  <dimension ref="C1:O52"/>
  <sheetViews>
    <sheetView workbookViewId="0">
      <selection activeCell="C28" sqref="C28"/>
    </sheetView>
  </sheetViews>
  <sheetFormatPr baseColWidth="10" defaultRowHeight="14.4" x14ac:dyDescent="0.3"/>
  <cols>
    <col min="3" max="3" width="21" bestFit="1" customWidth="1"/>
    <col min="4" max="4" width="22.33203125" customWidth="1"/>
  </cols>
  <sheetData>
    <row r="1" spans="3:15" ht="15" thickBot="1" x14ac:dyDescent="0.35"/>
    <row r="2" spans="3:15" ht="15" thickBot="1" x14ac:dyDescent="0.35">
      <c r="C2" s="115" t="s">
        <v>234</v>
      </c>
      <c r="D2" s="116" t="s">
        <v>0</v>
      </c>
      <c r="E2" s="117" t="s">
        <v>235</v>
      </c>
    </row>
    <row r="3" spans="3:15" x14ac:dyDescent="0.3">
      <c r="C3" s="113" t="s">
        <v>230</v>
      </c>
      <c r="D3" s="114">
        <v>181</v>
      </c>
      <c r="E3" s="9">
        <f>D3*4</f>
        <v>724</v>
      </c>
      <c r="F3">
        <v>1</v>
      </c>
      <c r="K3">
        <v>724</v>
      </c>
      <c r="L3">
        <v>1</v>
      </c>
      <c r="N3">
        <v>724</v>
      </c>
      <c r="O3">
        <v>1</v>
      </c>
    </row>
    <row r="4" spans="3:15" x14ac:dyDescent="0.3">
      <c r="C4" s="109" t="s">
        <v>231</v>
      </c>
      <c r="D4" s="30">
        <v>80</v>
      </c>
      <c r="E4" s="8">
        <f>D4*4</f>
        <v>320</v>
      </c>
      <c r="F4">
        <v>50</v>
      </c>
      <c r="K4">
        <v>320</v>
      </c>
      <c r="L4">
        <v>60</v>
      </c>
      <c r="N4">
        <v>52</v>
      </c>
      <c r="O4">
        <v>94</v>
      </c>
    </row>
    <row r="5" spans="3:15" x14ac:dyDescent="0.3">
      <c r="C5" s="109" t="s">
        <v>233</v>
      </c>
      <c r="D5" s="30"/>
      <c r="E5" s="8">
        <f>D5*4</f>
        <v>0</v>
      </c>
      <c r="K5">
        <v>52</v>
      </c>
      <c r="L5">
        <v>94</v>
      </c>
    </row>
    <row r="6" spans="3:15" ht="15" thickBot="1" x14ac:dyDescent="0.35">
      <c r="C6" s="110" t="s">
        <v>232</v>
      </c>
      <c r="D6" s="111">
        <v>13</v>
      </c>
      <c r="E6" s="112">
        <f>D6*4</f>
        <v>52</v>
      </c>
      <c r="F6">
        <v>94</v>
      </c>
    </row>
    <row r="51" spans="8:8" x14ac:dyDescent="0.3">
      <c r="H51" s="29"/>
    </row>
    <row r="52" spans="8:8" x14ac:dyDescent="0.3">
      <c r="H52" s="29"/>
    </row>
  </sheetData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C0C0"/>
  </sheetPr>
  <dimension ref="A1:L8"/>
  <sheetViews>
    <sheetView workbookViewId="0">
      <selection activeCell="N8" sqref="N8"/>
    </sheetView>
  </sheetViews>
  <sheetFormatPr baseColWidth="10" defaultRowHeight="14.4" x14ac:dyDescent="0.3"/>
  <cols>
    <col min="1" max="1" width="12.33203125" bestFit="1" customWidth="1"/>
    <col min="2" max="2" width="4" bestFit="1" customWidth="1"/>
    <col min="3" max="3" width="5.5546875" customWidth="1"/>
    <col min="4" max="4" width="4" bestFit="1" customWidth="1"/>
    <col min="5" max="6" width="7.33203125" bestFit="1" customWidth="1"/>
    <col min="7" max="7" width="5.6640625" customWidth="1"/>
    <col min="8" max="8" width="4" bestFit="1" customWidth="1"/>
    <col min="9" max="9" width="5.5546875" bestFit="1" customWidth="1"/>
    <col min="10" max="10" width="5.6640625" customWidth="1"/>
    <col min="11" max="11" width="8.44140625" bestFit="1" customWidth="1"/>
    <col min="12" max="12" width="4" bestFit="1" customWidth="1"/>
  </cols>
  <sheetData>
    <row r="1" spans="1:12" x14ac:dyDescent="0.3">
      <c r="A1" s="30"/>
      <c r="B1" s="46" t="s">
        <v>64</v>
      </c>
      <c r="D1" s="46" t="s">
        <v>65</v>
      </c>
      <c r="E1" s="46" t="s">
        <v>66</v>
      </c>
      <c r="F1" s="46" t="s">
        <v>67</v>
      </c>
      <c r="H1" s="46" t="s">
        <v>68</v>
      </c>
      <c r="I1" s="46" t="s">
        <v>69</v>
      </c>
      <c r="K1" s="218" t="s">
        <v>70</v>
      </c>
      <c r="L1" s="218"/>
    </row>
    <row r="2" spans="1:12" x14ac:dyDescent="0.3">
      <c r="A2" s="30">
        <v>200</v>
      </c>
      <c r="B2" s="47">
        <v>100</v>
      </c>
      <c r="D2" s="47">
        <v>0.5</v>
      </c>
      <c r="E2" s="30">
        <v>17</v>
      </c>
      <c r="F2" s="30">
        <v>17</v>
      </c>
      <c r="H2" s="30">
        <v>158</v>
      </c>
      <c r="I2" s="47">
        <v>5</v>
      </c>
      <c r="K2" s="30" t="s">
        <v>59</v>
      </c>
      <c r="L2" s="30">
        <v>0</v>
      </c>
    </row>
    <row r="3" spans="1:12" x14ac:dyDescent="0.3">
      <c r="A3" s="30">
        <v>220</v>
      </c>
      <c r="B3" s="47">
        <v>75</v>
      </c>
      <c r="D3" s="47">
        <v>1</v>
      </c>
      <c r="E3" s="30">
        <v>35</v>
      </c>
      <c r="F3" s="30">
        <v>35</v>
      </c>
      <c r="H3" s="30">
        <v>165</v>
      </c>
      <c r="I3" s="47">
        <v>7</v>
      </c>
      <c r="K3" s="30" t="s">
        <v>71</v>
      </c>
      <c r="L3" s="30" t="s">
        <v>72</v>
      </c>
    </row>
    <row r="4" spans="1:12" x14ac:dyDescent="0.3">
      <c r="A4" s="30">
        <v>280</v>
      </c>
      <c r="B4" s="47">
        <v>30</v>
      </c>
      <c r="D4" s="47">
        <v>2</v>
      </c>
      <c r="E4" s="30">
        <v>73</v>
      </c>
      <c r="F4" s="30">
        <v>73</v>
      </c>
      <c r="H4" s="30">
        <v>186</v>
      </c>
      <c r="I4" s="47">
        <v>17</v>
      </c>
    </row>
    <row r="5" spans="1:12" x14ac:dyDescent="0.3">
      <c r="A5" s="30">
        <v>380</v>
      </c>
      <c r="B5" s="47">
        <v>10</v>
      </c>
      <c r="D5" s="48">
        <v>3</v>
      </c>
      <c r="E5" s="32">
        <v>109</v>
      </c>
      <c r="F5" s="32">
        <v>109</v>
      </c>
      <c r="H5" s="30">
        <v>205</v>
      </c>
      <c r="I5" s="47">
        <v>26</v>
      </c>
    </row>
    <row r="6" spans="1:12" x14ac:dyDescent="0.3">
      <c r="A6" s="30">
        <v>680</v>
      </c>
      <c r="B6" s="47">
        <v>3</v>
      </c>
      <c r="D6" s="47">
        <v>3.2</v>
      </c>
      <c r="E6" s="30">
        <v>117</v>
      </c>
      <c r="F6" s="30">
        <v>117</v>
      </c>
      <c r="H6" s="30">
        <v>231</v>
      </c>
      <c r="I6" s="47">
        <v>38</v>
      </c>
    </row>
    <row r="7" spans="1:12" x14ac:dyDescent="0.3">
      <c r="H7" s="30">
        <v>236</v>
      </c>
      <c r="I7" s="47">
        <v>41</v>
      </c>
    </row>
    <row r="8" spans="1:12" x14ac:dyDescent="0.3">
      <c r="H8" s="30">
        <v>247</v>
      </c>
      <c r="I8" s="47">
        <v>45</v>
      </c>
    </row>
  </sheetData>
  <mergeCells count="1">
    <mergeCell ref="K1:L1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C0C0"/>
  </sheetPr>
  <dimension ref="B2:K27"/>
  <sheetViews>
    <sheetView zoomScale="115" zoomScaleNormal="115" workbookViewId="0">
      <selection activeCell="E17" sqref="E17"/>
    </sheetView>
  </sheetViews>
  <sheetFormatPr baseColWidth="10" defaultRowHeight="14.4" x14ac:dyDescent="0.3"/>
  <cols>
    <col min="1" max="1" width="6" customWidth="1"/>
    <col min="2" max="2" width="12.44140625" bestFit="1" customWidth="1"/>
    <col min="3" max="3" width="31" bestFit="1" customWidth="1"/>
    <col min="4" max="4" width="6.109375" customWidth="1"/>
    <col min="5" max="5" width="13.88671875" bestFit="1" customWidth="1"/>
    <col min="6" max="6" width="16.109375" bestFit="1" customWidth="1"/>
    <col min="7" max="7" width="36.88671875" bestFit="1" customWidth="1"/>
    <col min="8" max="8" width="6.88671875" customWidth="1"/>
    <col min="9" max="9" width="12.44140625" bestFit="1" customWidth="1"/>
    <col min="10" max="10" width="14.109375" customWidth="1"/>
    <col min="11" max="11" width="28.88671875" bestFit="1" customWidth="1"/>
  </cols>
  <sheetData>
    <row r="2" spans="2:11" x14ac:dyDescent="0.3">
      <c r="B2" s="36" t="s">
        <v>0</v>
      </c>
      <c r="C2" s="36" t="s">
        <v>25</v>
      </c>
      <c r="E2" s="36" t="s">
        <v>205</v>
      </c>
      <c r="F2" s="36" t="s">
        <v>52</v>
      </c>
      <c r="G2" s="36" t="s">
        <v>51</v>
      </c>
      <c r="I2" s="36" t="s">
        <v>204</v>
      </c>
      <c r="J2" s="36" t="s">
        <v>53</v>
      </c>
      <c r="K2" s="36" t="s">
        <v>51</v>
      </c>
    </row>
    <row r="3" spans="2:11" x14ac:dyDescent="0.3">
      <c r="B3" s="35">
        <v>0</v>
      </c>
      <c r="C3" s="35" t="s">
        <v>4</v>
      </c>
      <c r="E3" s="106">
        <v>1</v>
      </c>
      <c r="F3" s="101" t="s">
        <v>200</v>
      </c>
      <c r="G3" s="102" t="s">
        <v>54</v>
      </c>
      <c r="I3" s="30">
        <v>0</v>
      </c>
      <c r="J3" s="30" t="s">
        <v>62</v>
      </c>
      <c r="K3" s="31" t="s">
        <v>186</v>
      </c>
    </row>
    <row r="4" spans="2:11" x14ac:dyDescent="0.3">
      <c r="B4" s="35" t="s">
        <v>26</v>
      </c>
      <c r="C4" s="35" t="s">
        <v>27</v>
      </c>
      <c r="E4" s="107" t="s">
        <v>208</v>
      </c>
      <c r="F4" s="105" t="s">
        <v>192</v>
      </c>
      <c r="G4" s="105" t="s">
        <v>195</v>
      </c>
      <c r="I4" s="30">
        <v>1</v>
      </c>
      <c r="J4" s="30" t="s">
        <v>181</v>
      </c>
      <c r="K4" s="31" t="s">
        <v>187</v>
      </c>
    </row>
    <row r="5" spans="2:11" x14ac:dyDescent="0.3">
      <c r="B5" s="33">
        <v>1</v>
      </c>
      <c r="C5" s="33" t="s">
        <v>28</v>
      </c>
      <c r="E5" s="107" t="s">
        <v>209</v>
      </c>
      <c r="F5" s="105" t="s">
        <v>193</v>
      </c>
      <c r="G5" s="105" t="s">
        <v>196</v>
      </c>
      <c r="I5" s="30">
        <v>2</v>
      </c>
      <c r="J5" s="30" t="s">
        <v>182</v>
      </c>
      <c r="K5" s="31" t="s">
        <v>188</v>
      </c>
    </row>
    <row r="6" spans="2:11" x14ac:dyDescent="0.3">
      <c r="B6" s="33">
        <v>2</v>
      </c>
      <c r="C6" s="33" t="s">
        <v>29</v>
      </c>
      <c r="E6" s="107" t="s">
        <v>210</v>
      </c>
      <c r="F6" s="105" t="s">
        <v>194</v>
      </c>
      <c r="G6" s="105" t="s">
        <v>197</v>
      </c>
      <c r="I6" s="30">
        <v>3</v>
      </c>
      <c r="J6" s="30" t="s">
        <v>183</v>
      </c>
      <c r="K6" s="31" t="s">
        <v>189</v>
      </c>
    </row>
    <row r="7" spans="2:11" x14ac:dyDescent="0.3">
      <c r="B7" s="33">
        <v>3</v>
      </c>
      <c r="C7" s="33" t="s">
        <v>30</v>
      </c>
      <c r="E7" s="108">
        <v>5</v>
      </c>
      <c r="F7" s="103" t="s">
        <v>198</v>
      </c>
      <c r="G7" s="104" t="s">
        <v>201</v>
      </c>
      <c r="I7" s="30">
        <v>4</v>
      </c>
      <c r="J7" s="30" t="s">
        <v>184</v>
      </c>
      <c r="K7" s="31" t="s">
        <v>190</v>
      </c>
    </row>
    <row r="8" spans="2:11" x14ac:dyDescent="0.3">
      <c r="B8" s="33">
        <v>4</v>
      </c>
      <c r="C8" s="33" t="s">
        <v>31</v>
      </c>
      <c r="E8" s="108">
        <v>6</v>
      </c>
      <c r="F8" s="103" t="s">
        <v>198</v>
      </c>
      <c r="G8" s="104" t="s">
        <v>206</v>
      </c>
      <c r="I8" s="30">
        <v>5</v>
      </c>
      <c r="J8" s="30" t="s">
        <v>185</v>
      </c>
      <c r="K8" s="31" t="s">
        <v>191</v>
      </c>
    </row>
    <row r="9" spans="2:11" x14ac:dyDescent="0.3">
      <c r="B9" s="33">
        <v>5</v>
      </c>
      <c r="C9" s="33" t="s">
        <v>32</v>
      </c>
      <c r="E9" s="108">
        <v>7</v>
      </c>
      <c r="F9" s="103" t="s">
        <v>199</v>
      </c>
      <c r="G9" s="104" t="s">
        <v>202</v>
      </c>
      <c r="I9" s="29"/>
    </row>
    <row r="10" spans="2:11" x14ac:dyDescent="0.3">
      <c r="B10" s="33">
        <v>6</v>
      </c>
      <c r="C10" s="33" t="s">
        <v>33</v>
      </c>
      <c r="E10" s="98">
        <v>8</v>
      </c>
      <c r="F10" s="98" t="s">
        <v>207</v>
      </c>
      <c r="G10" s="98" t="s">
        <v>203</v>
      </c>
      <c r="I10" s="29"/>
    </row>
    <row r="11" spans="2:11" x14ac:dyDescent="0.3">
      <c r="B11" s="34">
        <v>21</v>
      </c>
      <c r="C11" s="34" t="s">
        <v>35</v>
      </c>
      <c r="E11" s="99"/>
      <c r="F11" s="99"/>
      <c r="G11" s="100"/>
      <c r="I11" s="29"/>
    </row>
    <row r="12" spans="2:11" x14ac:dyDescent="0.3">
      <c r="B12" s="34">
        <v>22</v>
      </c>
      <c r="C12" s="34" t="s">
        <v>36</v>
      </c>
      <c r="E12" s="29"/>
      <c r="F12" s="29"/>
      <c r="I12" s="29"/>
    </row>
    <row r="13" spans="2:11" x14ac:dyDescent="0.3">
      <c r="B13" s="34">
        <v>23</v>
      </c>
      <c r="C13" s="34" t="s">
        <v>37</v>
      </c>
      <c r="E13" s="29"/>
      <c r="F13" s="29"/>
      <c r="I13" s="36" t="s">
        <v>214</v>
      </c>
      <c r="J13" s="36" t="s">
        <v>215</v>
      </c>
      <c r="K13" s="36" t="s">
        <v>216</v>
      </c>
    </row>
    <row r="14" spans="2:11" x14ac:dyDescent="0.3">
      <c r="B14" s="33">
        <v>31</v>
      </c>
      <c r="C14" s="33" t="s">
        <v>48</v>
      </c>
      <c r="E14" s="29"/>
      <c r="F14" s="29"/>
      <c r="I14" s="30">
        <v>0</v>
      </c>
      <c r="J14" s="30" t="s">
        <v>222</v>
      </c>
      <c r="K14" s="31" t="s">
        <v>223</v>
      </c>
    </row>
    <row r="15" spans="2:11" x14ac:dyDescent="0.3">
      <c r="B15" s="33">
        <v>32</v>
      </c>
      <c r="C15" s="33" t="s">
        <v>49</v>
      </c>
      <c r="E15" s="29"/>
      <c r="F15" s="29"/>
      <c r="I15" s="30">
        <v>1</v>
      </c>
      <c r="J15" s="30" t="s">
        <v>224</v>
      </c>
      <c r="K15" s="31" t="s">
        <v>225</v>
      </c>
    </row>
    <row r="16" spans="2:11" x14ac:dyDescent="0.3">
      <c r="B16" s="33">
        <v>33</v>
      </c>
      <c r="C16" s="33" t="s">
        <v>34</v>
      </c>
      <c r="E16" s="29"/>
      <c r="F16" s="29"/>
      <c r="I16" s="30">
        <v>2</v>
      </c>
      <c r="J16" s="30" t="s">
        <v>226</v>
      </c>
      <c r="K16" s="31" t="s">
        <v>227</v>
      </c>
    </row>
    <row r="17" spans="2:11" x14ac:dyDescent="0.3">
      <c r="B17" s="34">
        <v>41</v>
      </c>
      <c r="C17" s="34" t="s">
        <v>38</v>
      </c>
      <c r="E17" s="29"/>
      <c r="F17" s="29"/>
      <c r="I17" s="30">
        <v>3</v>
      </c>
      <c r="J17" s="30" t="s">
        <v>228</v>
      </c>
      <c r="K17" s="31" t="s">
        <v>229</v>
      </c>
    </row>
    <row r="18" spans="2:11" x14ac:dyDescent="0.3">
      <c r="B18" s="34">
        <v>42</v>
      </c>
      <c r="C18" s="34" t="s">
        <v>39</v>
      </c>
      <c r="E18" s="29"/>
      <c r="F18" s="29"/>
      <c r="I18" s="30">
        <v>4</v>
      </c>
      <c r="J18" s="30" t="s">
        <v>217</v>
      </c>
      <c r="K18" s="31" t="s">
        <v>221</v>
      </c>
    </row>
    <row r="19" spans="2:11" x14ac:dyDescent="0.3">
      <c r="B19" s="34">
        <v>43</v>
      </c>
      <c r="C19" s="34" t="s">
        <v>40</v>
      </c>
      <c r="E19" s="29"/>
      <c r="F19" s="29"/>
      <c r="I19" s="30">
        <v>5</v>
      </c>
      <c r="J19" s="30" t="s">
        <v>218</v>
      </c>
      <c r="K19" s="31" t="s">
        <v>221</v>
      </c>
    </row>
    <row r="20" spans="2:11" x14ac:dyDescent="0.3">
      <c r="B20" s="34">
        <v>44</v>
      </c>
      <c r="C20" s="34" t="s">
        <v>41</v>
      </c>
      <c r="E20" s="29"/>
      <c r="F20" s="29"/>
      <c r="I20" s="30">
        <v>6</v>
      </c>
      <c r="J20" s="30" t="s">
        <v>219</v>
      </c>
      <c r="K20" s="31" t="s">
        <v>221</v>
      </c>
    </row>
    <row r="21" spans="2:11" x14ac:dyDescent="0.3">
      <c r="B21" s="33">
        <v>51</v>
      </c>
      <c r="C21" s="33" t="s">
        <v>42</v>
      </c>
      <c r="E21" s="29"/>
      <c r="F21" s="29"/>
      <c r="I21" s="30">
        <v>7</v>
      </c>
      <c r="J21" s="30" t="s">
        <v>220</v>
      </c>
      <c r="K21" s="31" t="s">
        <v>221</v>
      </c>
    </row>
    <row r="22" spans="2:11" x14ac:dyDescent="0.3">
      <c r="B22" s="33">
        <v>52</v>
      </c>
      <c r="C22" s="33" t="s">
        <v>43</v>
      </c>
    </row>
    <row r="23" spans="2:11" x14ac:dyDescent="0.3">
      <c r="B23" s="33">
        <v>53</v>
      </c>
      <c r="C23" s="33" t="s">
        <v>44</v>
      </c>
    </row>
    <row r="24" spans="2:11" x14ac:dyDescent="0.3">
      <c r="B24" s="34">
        <v>61</v>
      </c>
      <c r="C24" s="34" t="s">
        <v>45</v>
      </c>
    </row>
    <row r="25" spans="2:11" x14ac:dyDescent="0.3">
      <c r="B25" s="34">
        <v>62</v>
      </c>
      <c r="C25" s="34" t="s">
        <v>46</v>
      </c>
    </row>
    <row r="26" spans="2:11" x14ac:dyDescent="0.3">
      <c r="B26" s="34">
        <v>63</v>
      </c>
      <c r="C26" s="34" t="s">
        <v>47</v>
      </c>
    </row>
    <row r="27" spans="2:11" x14ac:dyDescent="0.3">
      <c r="B27" s="34">
        <v>64</v>
      </c>
      <c r="C27" s="34" t="s">
        <v>50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Comandos</vt:lpstr>
      <vt:lpstr>I-O</vt:lpstr>
      <vt:lpstr>Red MQTT</vt:lpstr>
      <vt:lpstr>Sensor Luz v3</vt:lpstr>
      <vt:lpstr>MapeoIR</vt:lpstr>
      <vt:lpstr>ZeroCross</vt:lpstr>
      <vt:lpstr>Sensor de Luz 2 (obsoleto)</vt:lpstr>
      <vt:lpstr>Sensores (obsoleto)</vt:lpstr>
      <vt:lpstr>Menu (obsoleto)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>Gonzalo Carvallo</cp:lastModifiedBy>
  <dcterms:created xsi:type="dcterms:W3CDTF">2014-05-25T22:05:34Z</dcterms:created>
  <dcterms:modified xsi:type="dcterms:W3CDTF">2023-01-23T21:51:51Z</dcterms:modified>
</cp:coreProperties>
</file>